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sigExpress\Proyectos\Desarrollo2\"/>
    </mc:Choice>
  </mc:AlternateContent>
  <xr:revisionPtr revIDLastSave="0" documentId="13_ncr:1_{914CA0EF-26E1-4CB5-AC0E-8EB90118A46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ag1" sheetId="3" r:id="rId1"/>
    <sheet name="Hoja1" sheetId="11" r:id="rId2"/>
    <sheet name="Cadena de conexión" sheetId="4" r:id="rId3"/>
  </sheets>
  <functionGroups builtInGroupCount="19"/>
  <definedNames>
    <definedName name="_xlnm.Print_Area" localSheetId="0">'Pag1'!$B$1:$G$63</definedName>
    <definedName name="SEGMENTOS">OFFSET(#REF!,0,0,COUNTA(#REF!),COUNTA(#REF!))</definedName>
    <definedName name="valuevx">42.314159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3" l="1"/>
  <c r="N5" i="3" l="1"/>
  <c r="G5" i="3" s="1"/>
  <c r="J37" i="3"/>
  <c r="V17" i="3" l="1"/>
  <c r="V18" i="3" l="1"/>
  <c r="V19" i="3"/>
  <c r="J19" i="3" s="1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S18" i="3"/>
  <c r="J18" i="3" s="1"/>
  <c r="S19" i="3"/>
  <c r="S20" i="3"/>
  <c r="J20" i="3" s="1"/>
  <c r="S21" i="3"/>
  <c r="J21" i="3" s="1"/>
  <c r="S22" i="3"/>
  <c r="J22" i="3" s="1"/>
  <c r="S23" i="3"/>
  <c r="J23" i="3" s="1"/>
  <c r="S24" i="3"/>
  <c r="J24" i="3" s="1"/>
  <c r="S25" i="3"/>
  <c r="J25" i="3" s="1"/>
  <c r="S26" i="3"/>
  <c r="J26" i="3" s="1"/>
  <c r="S27" i="3"/>
  <c r="J27" i="3" s="1"/>
  <c r="S28" i="3"/>
  <c r="J28" i="3" s="1"/>
  <c r="S29" i="3"/>
  <c r="J29" i="3" s="1"/>
  <c r="S30" i="3"/>
  <c r="J30" i="3" s="1"/>
  <c r="S31" i="3"/>
  <c r="J31" i="3" s="1"/>
  <c r="S32" i="3"/>
  <c r="J32" i="3" s="1"/>
  <c r="S33" i="3"/>
  <c r="J33" i="3" s="1"/>
  <c r="S34" i="3"/>
  <c r="J34" i="3" s="1"/>
  <c r="S35" i="3"/>
  <c r="J35" i="3" s="1"/>
  <c r="S36" i="3"/>
  <c r="J36" i="3" s="1"/>
  <c r="S17" i="3"/>
  <c r="J17" i="3" s="1"/>
  <c r="P28" i="3" l="1"/>
  <c r="N28" i="3" s="1"/>
  <c r="P27" i="3"/>
  <c r="N27" i="3" s="1"/>
  <c r="P34" i="3"/>
  <c r="N34" i="3" s="1"/>
  <c r="P26" i="3"/>
  <c r="N26" i="3" s="1"/>
  <c r="P22" i="3"/>
  <c r="N22" i="3" s="1"/>
  <c r="P25" i="3"/>
  <c r="N25" i="3" s="1"/>
  <c r="P31" i="3"/>
  <c r="N31" i="3" s="1"/>
  <c r="P33" i="3"/>
  <c r="N33" i="3" s="1"/>
  <c r="P32" i="3"/>
  <c r="N32" i="3" s="1"/>
  <c r="P24" i="3"/>
  <c r="N24" i="3" s="1"/>
  <c r="P23" i="3"/>
  <c r="N23" i="3" s="1"/>
  <c r="T36" i="3"/>
  <c r="U36" i="3" s="1"/>
  <c r="P36" i="3"/>
  <c r="N36" i="3" s="1"/>
  <c r="P29" i="3"/>
  <c r="N29" i="3" s="1"/>
  <c r="P21" i="3"/>
  <c r="N21" i="3" s="1"/>
  <c r="T17" i="3"/>
  <c r="T22" i="3"/>
  <c r="U22" i="3" s="1"/>
  <c r="T32" i="3"/>
  <c r="U32" i="3" s="1"/>
  <c r="T29" i="3"/>
  <c r="U29" i="3" s="1"/>
  <c r="T33" i="3"/>
  <c r="U33" i="3" s="1"/>
  <c r="T34" i="3"/>
  <c r="U34" i="3" s="1"/>
  <c r="T20" i="3"/>
  <c r="U20" i="3" s="1"/>
  <c r="P20" i="3"/>
  <c r="N20" i="3" s="1"/>
  <c r="T30" i="3"/>
  <c r="U30" i="3" s="1"/>
  <c r="P30" i="3"/>
  <c r="N30" i="3" s="1"/>
  <c r="T27" i="3"/>
  <c r="U27" i="3" s="1"/>
  <c r="T21" i="3"/>
  <c r="U21" i="3" s="1"/>
  <c r="T28" i="3"/>
  <c r="U28" i="3" s="1"/>
  <c r="T26" i="3"/>
  <c r="U26" i="3" s="1"/>
  <c r="T19" i="3"/>
  <c r="T25" i="3"/>
  <c r="U25" i="3" s="1"/>
  <c r="T24" i="3"/>
  <c r="U24" i="3" s="1"/>
  <c r="T31" i="3"/>
  <c r="U31" i="3" s="1"/>
  <c r="T35" i="3"/>
  <c r="U35" i="3" s="1"/>
  <c r="P35" i="3"/>
  <c r="N35" i="3" s="1"/>
  <c r="T23" i="3"/>
  <c r="U23" i="3" s="1"/>
  <c r="T18" i="3"/>
  <c r="C11" i="4"/>
  <c r="C10" i="4"/>
  <c r="C25" i="4"/>
  <c r="C26" i="4"/>
  <c r="U19" i="3" l="1"/>
  <c r="P19" i="3"/>
  <c r="N19" i="3" s="1"/>
  <c r="U17" i="3"/>
  <c r="U18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P18" i="3" l="1"/>
  <c r="N18" i="3" s="1"/>
  <c r="P17" i="3"/>
  <c r="N17" i="3" s="1"/>
  <c r="B40" i="3"/>
  <c r="F32" i="3"/>
  <c r="G32" i="3" s="1"/>
  <c r="F28" i="3"/>
  <c r="G28" i="3" s="1"/>
  <c r="F22" i="3"/>
  <c r="I17" i="3"/>
  <c r="Q2" i="3"/>
  <c r="N7" i="3"/>
  <c r="P38" i="3" l="1"/>
  <c r="N38" i="3"/>
  <c r="G22" i="3"/>
  <c r="H22" i="3"/>
  <c r="F27" i="3"/>
  <c r="G27" i="3" s="1"/>
  <c r="F18" i="3"/>
  <c r="F19" i="3"/>
  <c r="F33" i="3"/>
  <c r="G33" i="3" s="1"/>
  <c r="F17" i="3"/>
  <c r="F23" i="3"/>
  <c r="F34" i="3"/>
  <c r="G34" i="3" s="1"/>
  <c r="F24" i="3"/>
  <c r="F35" i="3"/>
  <c r="G35" i="3" s="1"/>
  <c r="F29" i="3"/>
  <c r="G29" i="3" s="1"/>
  <c r="F30" i="3"/>
  <c r="G30" i="3" s="1"/>
  <c r="F36" i="3"/>
  <c r="G36" i="3" s="1"/>
  <c r="F25" i="3"/>
  <c r="F20" i="3"/>
  <c r="F31" i="3"/>
  <c r="G31" i="3" s="1"/>
  <c r="F26" i="3"/>
  <c r="G26" i="3" s="1"/>
  <c r="F21" i="3"/>
  <c r="H21" i="3" s="1"/>
  <c r="Q1" i="3"/>
  <c r="H32" i="3"/>
  <c r="H28" i="3"/>
  <c r="G23" i="3" l="1"/>
  <c r="H23" i="3"/>
  <c r="G25" i="3"/>
  <c r="H25" i="3"/>
  <c r="G24" i="3"/>
  <c r="H24" i="3"/>
  <c r="H29" i="3"/>
  <c r="G17" i="3"/>
  <c r="H17" i="3"/>
  <c r="H34" i="3"/>
  <c r="H33" i="3"/>
  <c r="H26" i="3"/>
  <c r="G20" i="3"/>
  <c r="H20" i="3"/>
  <c r="H19" i="3"/>
  <c r="G19" i="3"/>
  <c r="H35" i="3"/>
  <c r="G21" i="3"/>
  <c r="H31" i="3"/>
  <c r="H18" i="3"/>
  <c r="G18" i="3"/>
  <c r="H30" i="3"/>
  <c r="H36" i="3"/>
  <c r="H27" i="3"/>
  <c r="G38" i="3" l="1"/>
  <c r="G40" i="3" s="1"/>
  <c r="G39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2koru4dfqkxl4okqlfv tclte (2)" description="Conexión a la consulta 'b2koru4dfqkxl4okqlfv tclte (2)' en el libro." type="5" refreshedVersion="8" background="1" saveData="1">
    <dbPr connection="Provider=Microsoft.Mashup.OleDb.1;Data Source=$Workbook$;Location=&quot;b2koru4dfqkxl4okqlfv tclte (2)&quot;;Extended Properties=&quot;&quot;" command="SELECT * FROM [b2koru4dfqkxl4okqlfv tclte (2)]"/>
  </connection>
  <connection id="2" xr16:uid="{00000000-0015-0000-FFFF-FFFF01000000}" keepAlive="1" name="Consulta - b2koru4dfqkxl4okqlfv tingreso" description="Conexión a la consulta 'b2koru4dfqkxl4okqlfv tingreso' en el libro." type="5" refreshedVersion="6" background="1" saveData="1">
    <dbPr connection="Provider=Microsoft.Mashup.OleDb.1;Data Source=$Workbook$;Location=b2koru4dfqkxl4okqlfv tingreso;Extended Properties=&quot;&quot;" command="SELECT * FROM [b2koru4dfqkxl4okqlfv tingreso]"/>
  </connection>
  <connection id="3" xr16:uid="{00000000-0015-0000-FFFF-FFFF02000000}" keepAlive="1" name="Consulta - bbdd_2024 tproductos" description="Conexión a la consulta 'bbdd_2024 tproductos' en el libro." type="5" refreshedVersion="6" background="1" saveData="1">
    <dbPr connection="Provider=Microsoft.Mashup.OleDb.1;Data Source=$Workbook$;Location=bbdd_2024 tproductos;Extended Properties=&quot;&quot;" command="SELECT * FROM [bbdd_2024 tproductos]"/>
  </connection>
</connections>
</file>

<file path=xl/sharedStrings.xml><?xml version="1.0" encoding="utf-8"?>
<sst xmlns="http://schemas.openxmlformats.org/spreadsheetml/2006/main" count="162" uniqueCount="131">
  <si>
    <t>TIPO PAGO</t>
  </si>
  <si>
    <t>FECHA</t>
  </si>
  <si>
    <t>FECHA DE PAGO</t>
  </si>
  <si>
    <t># DE OPERACIÓN</t>
  </si>
  <si>
    <t>TIPO MOVIMIENTO</t>
  </si>
  <si>
    <t>COTIZACIÓN #</t>
  </si>
  <si>
    <t>COMPROBANTE</t>
  </si>
  <si>
    <t>CÓDIGO CLIENTE</t>
  </si>
  <si>
    <t>SERIE</t>
  </si>
  <si>
    <t>CADUCIDAD</t>
  </si>
  <si>
    <t>1 DÍAS</t>
  </si>
  <si>
    <t>CORRELATIVO</t>
  </si>
  <si>
    <t># GUIA_NC</t>
  </si>
  <si>
    <t>CLIENTE</t>
  </si>
  <si>
    <t>RUC O DOC:</t>
  </si>
  <si>
    <t>NOMBRE:</t>
  </si>
  <si>
    <t>DIRECCIÓN:</t>
  </si>
  <si>
    <t>CONTACTO:</t>
  </si>
  <si>
    <t>ITEM</t>
  </si>
  <si>
    <t>CÓDIGO</t>
  </si>
  <si>
    <t>DESCRIPCIÓN</t>
  </si>
  <si>
    <t>CANT.</t>
  </si>
  <si>
    <t>VALOR UNIT.</t>
  </si>
  <si>
    <t>SUB TOTAL</t>
  </si>
  <si>
    <t>STOCK</t>
  </si>
  <si>
    <t>Subtotal</t>
  </si>
  <si>
    <t>IGV 18%</t>
  </si>
  <si>
    <t>TOTAL</t>
  </si>
  <si>
    <t>.</t>
  </si>
  <si>
    <t>TÉRMINOS Y CONDICIONES</t>
  </si>
  <si>
    <t>2-. Una vez verificado el pago, se procede a la entrega de bienes y/o servicios.</t>
  </si>
  <si>
    <t>3-. La entrega se realizará según disponibilidad de almacen. (Consultar stock)</t>
  </si>
  <si>
    <t>4-. Lugar de entrega: Almacen Mega KB.</t>
  </si>
  <si>
    <t>5-. Los tubos PAVCO cuentan con certificado de garantía y protocolos de ensayos.</t>
  </si>
  <si>
    <t>6-. Cotización valida por 1 día</t>
  </si>
  <si>
    <t xml:space="preserve">7-. Validez de la oferta sujeta a variación, sin previo aviso y a disponibilidad del producto </t>
  </si>
  <si>
    <t>8-. Productos enviados por agencias de envíos, corre por cuenta y riesgo del comprador.</t>
  </si>
  <si>
    <t>Banco de Crédito, cta. Corriente (Soles): 215-7434418-0-46 ; CCI: 00221500743441804623</t>
  </si>
  <si>
    <t>Si usted tiene alguna pregunta sobre esta cotización, por favor, póngase en contacto con nosotros</t>
  </si>
  <si>
    <t>MEGA KB E.I.R.L</t>
  </si>
  <si>
    <t>RUC: 20606145030</t>
  </si>
  <si>
    <t>AV. JESÚS NRO. 322, CERCADO MARIANO MELGAR - AREQUIPA - AREQUIPA.</t>
  </si>
  <si>
    <t>Teléf.: +51 947243542 / 916185074     -      Email: inf.megakb@gmail.com</t>
  </si>
  <si>
    <t>Test</t>
  </si>
  <si>
    <t>Cadena de conexión</t>
  </si>
  <si>
    <t>Ejemplo cadena de conexión</t>
  </si>
  <si>
    <t>Charset</t>
  </si>
  <si>
    <t>Port</t>
  </si>
  <si>
    <t>Password</t>
  </si>
  <si>
    <t>User</t>
  </si>
  <si>
    <t>Database</t>
  </si>
  <si>
    <t>Server</t>
  </si>
  <si>
    <t>Driver</t>
  </si>
  <si>
    <t>Usando ODBC</t>
  </si>
  <si>
    <t>Data Source</t>
  </si>
  <si>
    <t>Microsoft.ACE.OLEDB.12.0</t>
  </si>
  <si>
    <t>Provider</t>
  </si>
  <si>
    <t>Usando OLEDB</t>
  </si>
  <si>
    <t>Conexión a Base de datos desde Excel</t>
  </si>
  <si>
    <t>G:\Otros ordenadores\Mi portátil\WindHome\COTIZACIONES\BBDD042022.accdb</t>
  </si>
  <si>
    <t>root</t>
  </si>
  <si>
    <t>127.0.0.1</t>
  </si>
  <si>
    <t>bbdd_2024</t>
  </si>
  <si>
    <t>{MySQL ODBC 8.3 UNICODE Driver}</t>
  </si>
  <si>
    <t>Asesor de venta: COD-005</t>
  </si>
  <si>
    <t>P_COMPRA</t>
  </si>
  <si>
    <t>MINIMO</t>
  </si>
  <si>
    <t>MEDIO</t>
  </si>
  <si>
    <t>MAX</t>
  </si>
  <si>
    <t>FLOTANTE</t>
  </si>
  <si>
    <t>PRECIO</t>
  </si>
  <si>
    <t>1-. El Valor unitario es sin igv.</t>
  </si>
  <si>
    <t>9-. Si es agente de retención, debe adjuntar el comprobante de retención junto al pago.</t>
  </si>
  <si>
    <t>contacto</t>
  </si>
  <si>
    <t>-</t>
  </si>
  <si>
    <t>KB-105</t>
  </si>
  <si>
    <t>RUBEN DARIO VIDAL TERRY</t>
  </si>
  <si>
    <t>KB-0001</t>
  </si>
  <si>
    <t>TB CPVC 1/2" X 5M PAVCO</t>
  </si>
  <si>
    <t>KB-0002</t>
  </si>
  <si>
    <t>TB CPVC 3/4" X 5M PAVCO</t>
  </si>
  <si>
    <t>KB-0003</t>
  </si>
  <si>
    <t>TB CPVC 1" X 5M PAVCO</t>
  </si>
  <si>
    <t>UNION UNIVERSAL PVC C/ROSCA 1/2" PAVCO</t>
  </si>
  <si>
    <t>TB P/AGUA C-10 C/ROSCA 1 1/2" X 5M PAVCO</t>
  </si>
  <si>
    <t>TB P/AGUA C-10 SP 1/2" X 5M PAVCO</t>
  </si>
  <si>
    <t>TB P/AGUA C-10 SP 1" X 5M PAVCO</t>
  </si>
  <si>
    <t>fecha</t>
  </si>
  <si>
    <t>numero cotizacion</t>
  </si>
  <si>
    <t>codigo cliente</t>
  </si>
  <si>
    <t>documento cliente</t>
  </si>
  <si>
    <t>nombre cliente</t>
  </si>
  <si>
    <t>direccion</t>
  </si>
  <si>
    <t>codigo</t>
  </si>
  <si>
    <t>descripcion</t>
  </si>
  <si>
    <t>cantidad</t>
  </si>
  <si>
    <t>precio</t>
  </si>
  <si>
    <t>item</t>
  </si>
  <si>
    <t>KB-0214</t>
  </si>
  <si>
    <t>KB-0008</t>
  </si>
  <si>
    <t>KB-0010</t>
  </si>
  <si>
    <t>KB-0012</t>
  </si>
  <si>
    <t>KB-0017</t>
  </si>
  <si>
    <t>TB P/AGUA C-10 SP 3" X 5M PAVCO</t>
  </si>
  <si>
    <t>KB-0138</t>
  </si>
  <si>
    <t>CODO PVC SP 45° X 2" PAVCO T</t>
  </si>
  <si>
    <t>MC03202024</t>
  </si>
  <si>
    <t>10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</si>
  <si>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</si>
  <si>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</si>
  <si>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</si>
  <si>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</si>
  <si>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</si>
  <si>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</si>
  <si>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</si>
  <si>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</si>
  <si>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</si>
  <si>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</si>
  <si>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</si>
  <si>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</si>
  <si>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</si>
  <si>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</si>
  <si>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</si>
  <si>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</si>
  <si>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</si>
  <si>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</si>
  <si>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</si>
  <si>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KB-110</t>
  </si>
  <si>
    <t>JORGE LUIS SILVA PEREZ</t>
  </si>
  <si>
    <t>AQP</t>
  </si>
  <si>
    <t>JORGE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</si>
</sst>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yyyy\-mm\-dd;@"/>
    <numFmt numFmtId="165" formatCode="00"/>
    <numFmt numFmtId="166" formatCode="_-&quot;$&quot;* #,##0.00_-;\-&quot;$&quot;* #,##0.00_-;_-&quot;$&quot;* &quot;-&quot;??_-;_-@_-"/>
    <numFmt numFmtId="167" formatCode="&quot;S/&quot;#,##0.00"/>
    <numFmt numFmtId="168" formatCode="_-&quot;S/&quot;* #,##0.00000_-;\-&quot;S/&quot;* #,##0.00000_-;_-&quot;S/&quot;* &quot;-&quot;?_-;_-@_-"/>
    <numFmt numFmtId="169" formatCode="_-&quot;S/&quot;* #,##0.00_-;\-&quot;S/&quot;* #,##0.00_-;_-&quot;S/&quot;* &quot;-&quot;?_-;_-@_-"/>
    <numFmt numFmtId="170" formatCode="0.00000"/>
    <numFmt numFmtId="171" formatCode="_(&quot;S/&quot;* #,##0.00_);_(&quot;S/&quot;* \(#,##0.00\);_(&quot;S/&quot;* &quot;-&quot;??_);_(@_)"/>
    <numFmt numFmtId="172" formatCode="&quot;S/&quot;\ #,##0.00"/>
    <numFmt numFmtId="173" formatCode="0.000000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rebuchet MS"/>
      <family val="2"/>
    </font>
    <font>
      <sz val="11"/>
      <color theme="1"/>
      <name val="Arial"/>
      <family val="2"/>
    </font>
    <font>
      <sz val="11"/>
      <color theme="4"/>
      <name val="Arial"/>
      <family val="2"/>
    </font>
    <font>
      <sz val="11"/>
      <color theme="8" tint="-0.499984740745262"/>
      <name val="Arial"/>
      <family val="2"/>
    </font>
    <font>
      <b/>
      <i/>
      <sz val="11"/>
      <color theme="2" tint="-0.749992370372631"/>
      <name val="Arial"/>
      <family val="2"/>
    </font>
    <font>
      <sz val="11"/>
      <color theme="8" tint="-0.249977111117893"/>
      <name val="Arial"/>
      <family val="2"/>
    </font>
    <font>
      <b/>
      <sz val="11"/>
      <color theme="4"/>
      <name val="Arial"/>
      <family val="2"/>
    </font>
    <font>
      <b/>
      <sz val="11"/>
      <color theme="1"/>
      <name val="Arial"/>
      <family val="2"/>
    </font>
    <font>
      <sz val="12"/>
      <color theme="1"/>
      <name val="Aptos"/>
      <family val="2"/>
    </font>
    <font>
      <sz val="12"/>
      <name val="Aptos"/>
      <family val="2"/>
    </font>
    <font>
      <b/>
      <sz val="12"/>
      <color indexed="9"/>
      <name val="Aptos"/>
      <family val="2"/>
    </font>
    <font>
      <b/>
      <sz val="12"/>
      <name val="Aptos"/>
      <family val="2"/>
    </font>
    <font>
      <b/>
      <sz val="12"/>
      <color theme="3" tint="-0.249977111117893"/>
      <name val="Aptos"/>
      <family val="2"/>
    </font>
    <font>
      <sz val="11"/>
      <color rgb="FF000000"/>
      <name val="Calibri"/>
      <family val="2"/>
    </font>
    <font>
      <b/>
      <sz val="12"/>
      <color theme="4" tint="-0.499984740745262"/>
      <name val="Aptos"/>
      <family val="2"/>
    </font>
    <font>
      <u/>
      <sz val="12"/>
      <color theme="10"/>
      <name val="Aptos"/>
      <family val="2"/>
    </font>
    <font>
      <sz val="12"/>
      <color theme="0"/>
      <name val="Aptos"/>
      <family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166" fontId="2" fillId="0" borderId="0" applyFont="0" applyFill="0" applyBorder="0" applyAlignment="0" applyProtection="0"/>
  </cellStyleXfs>
  <cellXfs count="117">
    <xf numFmtId="0" fontId="0" fillId="0" borderId="0" xfId="0"/>
    <xf numFmtId="0" fontId="4" fillId="0" borderId="0" xfId="0" applyFont="1"/>
    <xf numFmtId="0" fontId="5" fillId="0" borderId="0" xfId="0" applyFont="1"/>
    <xf numFmtId="0" fontId="6" fillId="9" borderId="0" xfId="0" applyFont="1" applyFill="1"/>
    <xf numFmtId="0" fontId="7" fillId="0" borderId="0" xfId="0" applyFont="1"/>
    <xf numFmtId="0" fontId="8" fillId="0" borderId="1" xfId="0" applyFont="1" applyBorder="1"/>
    <xf numFmtId="0" fontId="9" fillId="0" borderId="0" xfId="0" applyFont="1"/>
    <xf numFmtId="0" fontId="4" fillId="0" borderId="1" xfId="0" applyFont="1" applyBorder="1" applyAlignment="1">
      <alignment horizontal="left"/>
    </xf>
    <xf numFmtId="0" fontId="10" fillId="0" borderId="0" xfId="0" applyFont="1"/>
    <xf numFmtId="0" fontId="12" fillId="0" borderId="0" xfId="2" applyFont="1" applyAlignment="1">
      <alignment horizontal="right" vertical="center"/>
    </xf>
    <xf numFmtId="0" fontId="12" fillId="0" borderId="0" xfId="2" applyFont="1" applyAlignment="1">
      <alignment horizontal="center" vertical="center"/>
    </xf>
    <xf numFmtId="0" fontId="12" fillId="0" borderId="0" xfId="2" applyFont="1" applyAlignment="1" applyProtection="1">
      <alignment vertical="top"/>
      <protection locked="0"/>
    </xf>
    <xf numFmtId="14" fontId="12" fillId="0" borderId="0" xfId="2" applyNumberFormat="1" applyFont="1" applyAlignment="1">
      <alignment horizontal="center" vertical="center"/>
    </xf>
    <xf numFmtId="0" fontId="11" fillId="0" borderId="0" xfId="2" applyFont="1" applyAlignment="1">
      <alignment vertical="top"/>
    </xf>
    <xf numFmtId="0" fontId="12" fillId="0" borderId="0" xfId="2" applyFont="1" applyAlignment="1" applyProtection="1">
      <alignment horizontal="left" vertical="top"/>
      <protection locked="0"/>
    </xf>
    <xf numFmtId="0" fontId="12" fillId="0" borderId="0" xfId="2" applyFont="1" applyAlignment="1">
      <alignment vertical="top"/>
    </xf>
    <xf numFmtId="0" fontId="12" fillId="0" borderId="0" xfId="2" applyFont="1" applyAlignment="1">
      <alignment horizontal="left" vertical="center"/>
    </xf>
    <xf numFmtId="0" fontId="12" fillId="0" borderId="0" xfId="2" applyFont="1" applyAlignment="1">
      <alignment vertical="center"/>
    </xf>
    <xf numFmtId="0" fontId="13" fillId="4" borderId="1" xfId="2" applyFont="1" applyFill="1" applyBorder="1" applyAlignment="1">
      <alignment horizontal="center" vertical="center"/>
    </xf>
    <xf numFmtId="167" fontId="13" fillId="4" borderId="1" xfId="2" applyNumberFormat="1" applyFont="1" applyFill="1" applyBorder="1" applyAlignment="1">
      <alignment horizontal="center" vertical="center"/>
    </xf>
    <xf numFmtId="167" fontId="13" fillId="3" borderId="5" xfId="2" applyNumberFormat="1" applyFont="1" applyFill="1" applyBorder="1" applyAlignment="1">
      <alignment horizontal="center" vertical="center"/>
    </xf>
    <xf numFmtId="168" fontId="11" fillId="0" borderId="6" xfId="0" applyNumberFormat="1" applyFont="1" applyBorder="1" applyAlignment="1">
      <alignment horizontal="center" vertical="center"/>
    </xf>
    <xf numFmtId="169" fontId="11" fillId="0" borderId="6" xfId="0" applyNumberFormat="1" applyFont="1" applyBorder="1" applyAlignment="1">
      <alignment horizontal="center" vertical="center"/>
    </xf>
    <xf numFmtId="0" fontId="11" fillId="0" borderId="8" xfId="2" applyFont="1" applyBorder="1" applyAlignment="1">
      <alignment horizontal="center" vertical="center"/>
    </xf>
    <xf numFmtId="0" fontId="14" fillId="0" borderId="0" xfId="2" applyFont="1" applyAlignment="1">
      <alignment vertical="center"/>
    </xf>
    <xf numFmtId="171" fontId="14" fillId="0" borderId="0" xfId="2" applyNumberFormat="1" applyFont="1" applyAlignment="1">
      <alignment vertical="center"/>
    </xf>
    <xf numFmtId="0" fontId="13" fillId="0" borderId="0" xfId="2" applyFont="1" applyAlignment="1">
      <alignment horizontal="left" vertical="center"/>
    </xf>
    <xf numFmtId="171" fontId="14" fillId="7" borderId="1" xfId="2" applyNumberFormat="1" applyFont="1" applyFill="1" applyBorder="1" applyAlignment="1">
      <alignment vertical="center"/>
    </xf>
    <xf numFmtId="167" fontId="14" fillId="0" borderId="0" xfId="2" applyNumberFormat="1" applyFont="1" applyAlignment="1">
      <alignment vertical="center"/>
    </xf>
    <xf numFmtId="0" fontId="13" fillId="8" borderId="0" xfId="2" applyFont="1" applyFill="1" applyAlignment="1">
      <alignment vertical="center"/>
    </xf>
    <xf numFmtId="0" fontId="13" fillId="0" borderId="0" xfId="2" applyFont="1" applyAlignment="1">
      <alignment vertical="center"/>
    </xf>
    <xf numFmtId="0" fontId="12" fillId="0" borderId="0" xfId="2" applyFont="1" applyAlignment="1" applyProtection="1">
      <alignment vertical="center"/>
      <protection locked="0"/>
    </xf>
    <xf numFmtId="0" fontId="12" fillId="0" borderId="0" xfId="2" applyFont="1" applyAlignment="1" applyProtection="1">
      <alignment horizontal="left" vertical="center"/>
      <protection locked="0"/>
    </xf>
    <xf numFmtId="0" fontId="12" fillId="0" borderId="0" xfId="2" applyFont="1" applyAlignment="1">
      <alignment vertical="center" wrapText="1"/>
    </xf>
    <xf numFmtId="0" fontId="12" fillId="0" borderId="0" xfId="2" applyFont="1" applyAlignment="1">
      <alignment horizontal="left" vertical="center" wrapText="1"/>
    </xf>
    <xf numFmtId="0" fontId="12" fillId="0" borderId="0" xfId="2" applyFont="1" applyAlignment="1">
      <alignment horizontal="center" vertical="center" wrapText="1"/>
    </xf>
    <xf numFmtId="0" fontId="12" fillId="0" borderId="0" xfId="2" applyFont="1" applyAlignment="1">
      <alignment horizontal="left" vertical="top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1" fontId="11" fillId="0" borderId="7" xfId="0" applyNumberFormat="1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11" fillId="0" borderId="8" xfId="0" applyFont="1" applyBorder="1" applyAlignment="1">
      <alignment horizontal="center"/>
    </xf>
    <xf numFmtId="0" fontId="11" fillId="0" borderId="9" xfId="0" applyFont="1" applyBorder="1"/>
    <xf numFmtId="0" fontId="11" fillId="0" borderId="8" xfId="0" applyFont="1" applyBorder="1" applyAlignment="1">
      <alignment horizontal="center" vertical="center"/>
    </xf>
    <xf numFmtId="168" fontId="11" fillId="0" borderId="8" xfId="0" applyNumberFormat="1" applyFont="1" applyBorder="1" applyAlignment="1">
      <alignment horizontal="center" vertical="center"/>
    </xf>
    <xf numFmtId="168" fontId="11" fillId="0" borderId="8" xfId="0" applyNumberFormat="1" applyFont="1" applyBorder="1"/>
    <xf numFmtId="0" fontId="11" fillId="0" borderId="0" xfId="0" applyFont="1"/>
    <xf numFmtId="0" fontId="17" fillId="0" borderId="0" xfId="2" applyFont="1" applyAlignment="1">
      <alignment vertical="center"/>
    </xf>
    <xf numFmtId="0" fontId="12" fillId="0" borderId="1" xfId="2" applyFont="1" applyBorder="1" applyAlignment="1">
      <alignment horizontal="center" vertical="center"/>
    </xf>
    <xf numFmtId="0" fontId="12" fillId="0" borderId="2" xfId="2" applyFont="1" applyBorder="1" applyAlignment="1">
      <alignment vertical="center"/>
    </xf>
    <xf numFmtId="0" fontId="18" fillId="0" borderId="0" xfId="1" applyFont="1" applyAlignment="1" applyProtection="1">
      <alignment vertical="center"/>
      <protection locked="0"/>
    </xf>
    <xf numFmtId="172" fontId="12" fillId="0" borderId="0" xfId="2" applyNumberFormat="1" applyFont="1" applyAlignment="1">
      <alignment vertical="center"/>
    </xf>
    <xf numFmtId="164" fontId="12" fillId="0" borderId="1" xfId="2" applyNumberFormat="1" applyFont="1" applyBorder="1" applyAlignment="1" applyProtection="1">
      <alignment horizontal="center" vertical="center"/>
      <protection locked="0"/>
    </xf>
    <xf numFmtId="14" fontId="12" fillId="0" borderId="0" xfId="2" applyNumberFormat="1" applyFont="1" applyAlignment="1">
      <alignment vertical="center"/>
    </xf>
    <xf numFmtId="164" fontId="11" fillId="0" borderId="1" xfId="2" applyNumberFormat="1" applyFont="1" applyBorder="1" applyAlignment="1">
      <alignment horizontal="center" vertical="center"/>
    </xf>
    <xf numFmtId="165" fontId="12" fillId="0" borderId="2" xfId="3" applyNumberFormat="1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12" fillId="0" borderId="4" xfId="2" applyFont="1" applyBorder="1" applyAlignment="1" applyProtection="1">
      <alignment horizontal="center" vertical="center"/>
      <protection locked="0"/>
    </xf>
    <xf numFmtId="14" fontId="12" fillId="0" borderId="1" xfId="2" applyNumberFormat="1" applyFont="1" applyBorder="1" applyAlignment="1" applyProtection="1">
      <alignment horizontal="center" vertical="center"/>
      <protection locked="0"/>
    </xf>
    <xf numFmtId="0" fontId="19" fillId="0" borderId="2" xfId="2" applyFont="1" applyBorder="1" applyAlignment="1">
      <alignment vertical="center"/>
    </xf>
    <xf numFmtId="0" fontId="19" fillId="0" borderId="4" xfId="2" applyFont="1" applyBorder="1" applyAlignment="1">
      <alignment vertical="center"/>
    </xf>
    <xf numFmtId="0" fontId="19" fillId="0" borderId="0" xfId="2" applyFont="1" applyAlignment="1">
      <alignment vertical="center"/>
    </xf>
    <xf numFmtId="0" fontId="19" fillId="0" borderId="4" xfId="2" applyFont="1" applyBorder="1" applyAlignment="1" applyProtection="1">
      <alignment vertical="center"/>
      <protection locked="0"/>
    </xf>
    <xf numFmtId="0" fontId="13" fillId="4" borderId="0" xfId="2" applyFont="1" applyFill="1" applyAlignment="1">
      <alignment horizontal="left" vertical="center"/>
    </xf>
    <xf numFmtId="0" fontId="13" fillId="4" borderId="0" xfId="2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22" fontId="12" fillId="0" borderId="0" xfId="2" applyNumberFormat="1" applyFont="1" applyAlignment="1">
      <alignment vertical="center"/>
    </xf>
    <xf numFmtId="18" fontId="12" fillId="0" borderId="0" xfId="2" applyNumberFormat="1" applyFont="1" applyAlignment="1">
      <alignment vertical="center"/>
    </xf>
    <xf numFmtId="0" fontId="11" fillId="4" borderId="1" xfId="0" applyFont="1" applyFill="1" applyBorder="1" applyAlignment="1" applyProtection="1">
      <alignment vertical="center"/>
      <protection locked="0"/>
    </xf>
    <xf numFmtId="9" fontId="12" fillId="0" borderId="0" xfId="2" applyNumberFormat="1" applyFont="1" applyAlignment="1" applyProtection="1">
      <alignment horizontal="right" vertical="center"/>
      <protection locked="0"/>
    </xf>
    <xf numFmtId="2" fontId="11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170" fontId="11" fillId="0" borderId="0" xfId="0" applyNumberFormat="1" applyFont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locked="0"/>
    </xf>
    <xf numFmtId="0" fontId="11" fillId="0" borderId="5" xfId="0" applyFont="1" applyBorder="1" applyAlignment="1">
      <alignment horizontal="left" vertical="center"/>
    </xf>
    <xf numFmtId="0" fontId="11" fillId="0" borderId="0" xfId="0" applyFont="1" applyAlignment="1">
      <alignment vertical="center"/>
    </xf>
    <xf numFmtId="10" fontId="11" fillId="0" borderId="1" xfId="0" applyNumberFormat="1" applyFont="1" applyBorder="1" applyAlignment="1">
      <alignment vertical="center"/>
    </xf>
    <xf numFmtId="172" fontId="11" fillId="0" borderId="0" xfId="0" applyNumberFormat="1" applyFont="1" applyAlignment="1">
      <alignment vertical="center"/>
    </xf>
    <xf numFmtId="0" fontId="11" fillId="0" borderId="6" xfId="0" applyFont="1" applyBorder="1" applyAlignment="1">
      <alignment horizontal="left" vertical="center"/>
    </xf>
    <xf numFmtId="0" fontId="11" fillId="0" borderId="8" xfId="0" applyFont="1" applyBorder="1" applyAlignment="1">
      <alignment horizontal="left" vertical="center"/>
    </xf>
    <xf numFmtId="0" fontId="11" fillId="6" borderId="0" xfId="0" applyFont="1" applyFill="1" applyAlignment="1">
      <alignment vertical="center"/>
    </xf>
    <xf numFmtId="172" fontId="11" fillId="0" borderId="0" xfId="0" applyNumberFormat="1" applyFont="1"/>
    <xf numFmtId="173" fontId="11" fillId="0" borderId="0" xfId="0" applyNumberFormat="1" applyFont="1" applyAlignment="1">
      <alignment vertical="center"/>
    </xf>
    <xf numFmtId="14" fontId="0" fillId="0" borderId="0" xfId="0" applyNumberFormat="1"/>
    <xf numFmtId="0" fontId="12" fillId="10" borderId="0" xfId="2" applyFont="1" applyFill="1" applyAlignment="1" applyProtection="1">
      <alignment vertical="top"/>
      <protection locked="0"/>
    </xf>
    <xf numFmtId="0" fontId="12" fillId="0" borderId="1" xfId="2" applyFont="1" applyBorder="1" applyAlignment="1">
      <alignment vertical="center"/>
    </xf>
    <xf numFmtId="49" fontId="11" fillId="0" borderId="6" xfId="0" applyNumberFormat="1" applyFont="1" applyBorder="1" applyAlignment="1">
      <alignment horizontal="center" vertical="center"/>
    </xf>
    <xf numFmtId="0" fontId="12" fillId="10" borderId="0" xfId="2" applyFont="1" applyFill="1" applyAlignment="1">
      <alignment vertical="center"/>
    </xf>
    <xf numFmtId="165" fontId="12" fillId="10" borderId="2" xfId="2" applyNumberFormat="1" applyFont="1" applyFill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4" fontId="12" fillId="0" borderId="1" xfId="2" applyNumberFormat="1" applyFont="1" applyBorder="1" applyAlignment="1">
      <alignment horizontal="center" vertical="center"/>
    </xf>
    <xf numFmtId="0" fontId="12" fillId="0" borderId="0" xfId="2" applyFont="1" applyAlignment="1">
      <alignment horizontal="center" vertical="center" wrapText="1"/>
    </xf>
    <xf numFmtId="0" fontId="12" fillId="0" borderId="0" xfId="2" applyFont="1" applyAlignment="1">
      <alignment horizontal="left" vertical="center"/>
    </xf>
    <xf numFmtId="0" fontId="12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4" fillId="0" borderId="2" xfId="2" applyFont="1" applyBorder="1" applyAlignment="1">
      <alignment horizontal="center" vertical="center"/>
    </xf>
    <xf numFmtId="0" fontId="14" fillId="0" borderId="10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2" fillId="0" borderId="0" xfId="2" applyFont="1" applyAlignment="1">
      <alignment horizontal="left" vertical="top"/>
    </xf>
    <xf numFmtId="0" fontId="11" fillId="0" borderId="0" xfId="2" applyFont="1" applyAlignment="1">
      <alignment horizontal="left" vertical="top"/>
    </xf>
    <xf numFmtId="0" fontId="12" fillId="0" borderId="0" xfId="2" applyFont="1" applyAlignment="1">
      <alignment horizontal="center"/>
    </xf>
    <xf numFmtId="0" fontId="12" fillId="0" borderId="3" xfId="2" applyFont="1" applyBorder="1" applyAlignment="1">
      <alignment horizontal="center" vertical="center"/>
    </xf>
    <xf numFmtId="0" fontId="12" fillId="0" borderId="1" xfId="2" applyFont="1" applyBorder="1" applyAlignment="1" applyProtection="1">
      <alignment horizontal="center" vertical="center"/>
      <protection locked="0"/>
    </xf>
    <xf numFmtId="0" fontId="12" fillId="2" borderId="1" xfId="2" applyFont="1" applyFill="1" applyBorder="1" applyAlignment="1" applyProtection="1">
      <alignment horizontal="center" vertical="center"/>
      <protection locked="0"/>
    </xf>
    <xf numFmtId="0" fontId="14" fillId="0" borderId="0" xfId="2" applyFont="1" applyAlignment="1" applyProtection="1">
      <alignment horizontal="center" vertical="center" wrapText="1"/>
      <protection locked="0"/>
    </xf>
    <xf numFmtId="49" fontId="12" fillId="2" borderId="1" xfId="2" applyNumberFormat="1" applyFont="1" applyFill="1" applyBorder="1" applyAlignment="1" applyProtection="1">
      <alignment horizontal="center" vertical="center"/>
      <protection locked="0"/>
    </xf>
    <xf numFmtId="0" fontId="17" fillId="0" borderId="0" xfId="2" applyFont="1" applyAlignment="1">
      <alignment horizontal="center" vertical="center"/>
    </xf>
    <xf numFmtId="164" fontId="12" fillId="2" borderId="1" xfId="2" applyNumberFormat="1" applyFont="1" applyFill="1" applyBorder="1" applyAlignment="1" applyProtection="1">
      <alignment horizontal="center" vertical="center"/>
      <protection locked="0"/>
    </xf>
    <xf numFmtId="0" fontId="12" fillId="0" borderId="0" xfId="2" applyFont="1" applyFill="1" applyAlignment="1">
      <alignment vertical="center"/>
    </xf>
    <xf numFmtId="164" fontId="12" fillId="0" borderId="1" xfId="2" applyNumberFormat="1" applyFont="1" applyFill="1" applyBorder="1" applyAlignment="1" applyProtection="1">
      <alignment horizontal="center" vertical="center"/>
      <protection locked="0"/>
    </xf>
    <xf numFmtId="0" fontId="12" fillId="0" borderId="1" xfId="2" applyFont="1" applyFill="1" applyBorder="1" applyAlignment="1" applyProtection="1">
      <alignment horizontal="center" vertical="center"/>
      <protection locked="0"/>
    </xf>
    <xf numFmtId="49" fontId="12" fillId="0" borderId="1" xfId="2" applyNumberFormat="1" applyFont="1" applyFill="1" applyBorder="1" applyAlignment="1" applyProtection="1">
      <alignment horizontal="center" vertical="center"/>
      <protection locked="0"/>
    </xf>
  </cellXfs>
  <cellStyles count="4">
    <cellStyle name="Hipervínculo" xfId="1" builtinId="8"/>
    <cellStyle name="Moneda 2" xfId="3" xr:uid="{00000000-0005-0000-0000-000001000000}"/>
    <cellStyle name="Normal" xfId="0" builtinId="0"/>
    <cellStyle name="Normal 2" xfId="2" xr:uid="{00000000-0005-0000-0000-000003000000}"/>
  </cellStyles>
  <dxfs count="13">
    <dxf>
      <fill>
        <patternFill>
          <bgColor rgb="FFFF6600"/>
        </patternFill>
      </fill>
    </dxf>
    <dxf>
      <fill>
        <patternFill>
          <bgColor rgb="FF66FF66"/>
        </patternFill>
      </fill>
    </dxf>
    <dxf>
      <font>
        <b/>
        <i/>
        <strike val="0"/>
        <color theme="1"/>
      </font>
      <numFmt numFmtId="0" formatCode="General"/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fill>
        <patternFill patternType="solid"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fill>
        <patternFill patternType="solid"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fill>
        <patternFill patternType="solid"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fill>
        <patternFill patternType="solid"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fill>
        <patternFill patternType="solid"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fill>
        <patternFill patternType="solid"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fill>
        <patternFill patternType="solid"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color theme="1"/>
      </font>
      <numFmt numFmtId="0" formatCode="General"/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1"/>
      </font>
      <numFmt numFmtId="0" formatCode="General"/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1683</xdr:colOff>
      <xdr:row>0</xdr:row>
      <xdr:rowOff>0</xdr:rowOff>
    </xdr:from>
    <xdr:to>
      <xdr:col>3</xdr:col>
      <xdr:colOff>3996632</xdr:colOff>
      <xdr:row>5</xdr:row>
      <xdr:rowOff>189380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74" t="40265" b="40058"/>
        <a:stretch/>
      </xdr:blipFill>
      <xdr:spPr>
        <a:xfrm>
          <a:off x="203389" y="0"/>
          <a:ext cx="5496537" cy="13099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1821180</xdr:colOff>
          <xdr:row>0</xdr:row>
          <xdr:rowOff>7620</xdr:rowOff>
        </xdr:from>
        <xdr:to>
          <xdr:col>3</xdr:col>
          <xdr:colOff>3619500</xdr:colOff>
          <xdr:row>1</xdr:row>
          <xdr:rowOff>144780</xdr:rowOff>
        </xdr:to>
        <xdr:sp macro="" textlink="">
          <xdr:nvSpPr>
            <xdr:cNvPr id="2055" name="CommandButton5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3627120</xdr:colOff>
          <xdr:row>0</xdr:row>
          <xdr:rowOff>7620</xdr:rowOff>
        </xdr:from>
        <xdr:to>
          <xdr:col>4</xdr:col>
          <xdr:colOff>609600</xdr:colOff>
          <xdr:row>1</xdr:row>
          <xdr:rowOff>144780</xdr:rowOff>
        </xdr:to>
        <xdr:sp macro="" textlink="">
          <xdr:nvSpPr>
            <xdr:cNvPr id="2056" name="Btn_Prod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1303020</xdr:colOff>
          <xdr:row>0</xdr:row>
          <xdr:rowOff>7620</xdr:rowOff>
        </xdr:from>
        <xdr:to>
          <xdr:col>6</xdr:col>
          <xdr:colOff>1181100</xdr:colOff>
          <xdr:row>1</xdr:row>
          <xdr:rowOff>137160</xdr:rowOff>
        </xdr:to>
        <xdr:sp macro="" textlink="">
          <xdr:nvSpPr>
            <xdr:cNvPr id="2063" name="Btn_Cle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</xdr:colOff>
          <xdr:row>0</xdr:row>
          <xdr:rowOff>7620</xdr:rowOff>
        </xdr:from>
        <xdr:to>
          <xdr:col>5</xdr:col>
          <xdr:colOff>1280160</xdr:colOff>
          <xdr:row>1</xdr:row>
          <xdr:rowOff>152400</xdr:rowOff>
        </xdr:to>
        <xdr:sp macro="" textlink="">
          <xdr:nvSpPr>
            <xdr:cNvPr id="2065" name="Btn_Precio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236220</xdr:colOff>
          <xdr:row>0</xdr:row>
          <xdr:rowOff>60960</xdr:rowOff>
        </xdr:from>
        <xdr:to>
          <xdr:col>18</xdr:col>
          <xdr:colOff>541020</xdr:colOff>
          <xdr:row>2</xdr:row>
          <xdr:rowOff>160020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t_ingreso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251460</xdr:colOff>
          <xdr:row>2</xdr:row>
          <xdr:rowOff>220980</xdr:rowOff>
        </xdr:from>
        <xdr:to>
          <xdr:col>18</xdr:col>
          <xdr:colOff>883920</xdr:colOff>
          <xdr:row>5</xdr:row>
          <xdr:rowOff>220980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COTIZACION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198120</xdr:colOff>
          <xdr:row>9</xdr:row>
          <xdr:rowOff>7620</xdr:rowOff>
        </xdr:from>
        <xdr:to>
          <xdr:col>18</xdr:col>
          <xdr:colOff>845820</xdr:colOff>
          <xdr:row>13</xdr:row>
          <xdr:rowOff>45720</xdr:rowOff>
        </xdr:to>
        <xdr:sp macro="" textlink="">
          <xdr:nvSpPr>
            <xdr:cNvPr id="2072" name="Btn_Coti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6</xdr:row>
          <xdr:rowOff>30480</xdr:rowOff>
        </xdr:from>
        <xdr:to>
          <xdr:col>18</xdr:col>
          <xdr:colOff>868680</xdr:colOff>
          <xdr:row>9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COTIZACION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7</xdr:row>
          <xdr:rowOff>99060</xdr:rowOff>
        </xdr:from>
        <xdr:to>
          <xdr:col>6</xdr:col>
          <xdr:colOff>1295400</xdr:colOff>
          <xdr:row>11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Registrar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B1:V66"/>
  <sheetViews>
    <sheetView showGridLines="0" tabSelected="1" zoomScale="70" zoomScaleNormal="70" zoomScaleSheetLayoutView="100" zoomScalePageLayoutView="80" workbookViewId="0">
      <selection activeCell="P8" sqref="P8"/>
    </sheetView>
  </sheetViews>
  <sheetFormatPr baseColWidth="10" defaultColWidth="9.109375" defaultRowHeight="15.6" x14ac:dyDescent="0.3"/>
  <cols>
    <col min="1" max="1" width="3" style="17" customWidth="1"/>
    <col min="2" max="2" width="7.6640625" style="17" customWidth="1"/>
    <col min="3" max="3" width="14.88671875" style="17" customWidth="1"/>
    <col min="4" max="4" width="72.88671875" style="17" customWidth="1"/>
    <col min="5" max="5" width="9.33203125" style="17" customWidth="1"/>
    <col min="6" max="6" width="20.88671875" style="17" customWidth="1"/>
    <col min="7" max="7" width="20.33203125" style="17" customWidth="1"/>
    <col min="8" max="8" width="10.5546875" style="17" customWidth="1"/>
    <col min="9" max="9" width="6.44140625" style="17" customWidth="1"/>
    <col min="10" max="10" width="12.5546875" style="17" customWidth="1"/>
    <col min="11" max="11" width="14.88671875" style="17" customWidth="1"/>
    <col min="12" max="13" width="8.44140625" style="17" customWidth="1"/>
    <col min="14" max="14" width="18.33203125" style="10" bestFit="1" customWidth="1"/>
    <col min="15" max="15" width="10.6640625" style="17" bestFit="1" customWidth="1"/>
    <col min="16" max="16" width="15" style="48" customWidth="1"/>
    <col min="17" max="17" width="15.5546875" style="17" customWidth="1"/>
    <col min="18" max="18" width="15.44140625" style="53" customWidth="1"/>
    <col min="19" max="19" width="15" style="53" customWidth="1"/>
    <col min="20" max="20" width="15.44140625" style="53" customWidth="1"/>
    <col min="21" max="21" width="15" style="53" customWidth="1"/>
    <col min="22" max="22" width="13.44140625" style="53" customWidth="1"/>
    <col min="23" max="16384" width="9.109375" style="17"/>
  </cols>
  <sheetData>
    <row r="1" spans="2:22" ht="17.25" customHeight="1" x14ac:dyDescent="0.3">
      <c r="B1" s="111"/>
      <c r="C1" s="111"/>
      <c r="E1" s="49"/>
      <c r="F1" s="49"/>
      <c r="G1" s="49"/>
      <c r="H1" s="93" t="s">
        <v>0</v>
      </c>
      <c r="I1" s="93"/>
      <c r="J1" s="93"/>
      <c r="K1" s="107"/>
      <c r="L1" s="107"/>
      <c r="M1" s="51"/>
      <c r="N1" s="50" t="s">
        <v>1</v>
      </c>
      <c r="Q1" s="52" t="str">
        <f>HYPERLINK("https://api.whatsapp.com/send?phone="&amp;"51"&amp;Q9&amp;"&amp;Text="&amp;"Estimado cliente,"&amp;"%0A"&amp;"%0A"&amp;"Le adjuntamos el comprobante de su compra."&amp;"%0A"&amp;"%0A"&amp;"Gracias por preferirnos.","ENV. FACT")</f>
        <v>ENV. FACT</v>
      </c>
      <c r="T1" s="17">
        <v>18</v>
      </c>
    </row>
    <row r="2" spans="2:22" ht="17.25" customHeight="1" x14ac:dyDescent="0.3">
      <c r="E2" s="49"/>
      <c r="F2" s="49"/>
      <c r="G2" s="49"/>
      <c r="H2" s="93" t="s">
        <v>2</v>
      </c>
      <c r="I2" s="93"/>
      <c r="J2" s="93"/>
      <c r="K2" s="113"/>
      <c r="M2" s="51"/>
      <c r="N2" s="54"/>
      <c r="O2" s="55"/>
      <c r="Q2" s="52" t="str">
        <f>HYPERLINK("https://api.whatsapp.com/send?phone="&amp;"51"&amp;Q9&amp;"&amp;Text="&amp;"Estimado cliente, le adjuntamos la cotizacion solicitada. Quedamos atentos a cualquier consulta","ENV. COT")</f>
        <v>ENV. COT</v>
      </c>
    </row>
    <row r="3" spans="2:22" ht="17.25" customHeight="1" x14ac:dyDescent="0.3">
      <c r="H3" s="93" t="s">
        <v>3</v>
      </c>
      <c r="I3" s="93"/>
      <c r="J3" s="93"/>
      <c r="K3" s="114"/>
      <c r="L3" s="112"/>
      <c r="N3" s="92">
        <v>3</v>
      </c>
    </row>
    <row r="4" spans="2:22" ht="17.25" customHeight="1" x14ac:dyDescent="0.3">
      <c r="B4" s="105"/>
      <c r="C4" s="105"/>
      <c r="F4" s="9" t="s">
        <v>1</v>
      </c>
      <c r="G4" s="56">
        <f ca="1">TODAY()</f>
        <v>45400</v>
      </c>
      <c r="H4" s="106" t="s">
        <v>4</v>
      </c>
      <c r="I4" s="93"/>
      <c r="J4" s="93"/>
      <c r="K4" s="115"/>
      <c r="L4" s="108"/>
      <c r="N4" s="57">
        <v>4</v>
      </c>
      <c r="O4" s="17">
        <v>0</v>
      </c>
    </row>
    <row r="5" spans="2:22" ht="17.25" customHeight="1" x14ac:dyDescent="0.3">
      <c r="B5" s="105"/>
      <c r="C5" s="105"/>
      <c r="F5" s="9" t="s">
        <v>5</v>
      </c>
      <c r="G5" s="58" t="str">
        <f ca="1">"MC"&amp;TEXT(N3,"00")&amp;TEXT(N4,"00")&amp;TEXT(N5,"00")</f>
        <v>MC03042024</v>
      </c>
      <c r="H5" s="106" t="s">
        <v>6</v>
      </c>
      <c r="I5" s="93"/>
      <c r="J5" s="93"/>
      <c r="K5" s="115"/>
      <c r="L5" s="108"/>
      <c r="N5" s="59">
        <f ca="1">YEAR(TODAY())</f>
        <v>2024</v>
      </c>
    </row>
    <row r="6" spans="2:22" ht="17.25" customHeight="1" x14ac:dyDescent="0.3">
      <c r="B6" s="98"/>
      <c r="C6" s="98"/>
      <c r="F6" s="9" t="s">
        <v>7</v>
      </c>
      <c r="G6" s="60" t="s">
        <v>127</v>
      </c>
      <c r="H6" s="106" t="s">
        <v>8</v>
      </c>
      <c r="I6" s="93"/>
      <c r="J6" s="93"/>
      <c r="K6" s="115"/>
      <c r="L6" s="108"/>
      <c r="M6" s="51"/>
      <c r="N6" s="61"/>
    </row>
    <row r="7" spans="2:22" ht="17.25" customHeight="1" x14ac:dyDescent="0.3">
      <c r="B7" s="109" t="s">
        <v>64</v>
      </c>
      <c r="C7" s="109"/>
      <c r="F7" s="9" t="s">
        <v>9</v>
      </c>
      <c r="G7" s="62" t="s">
        <v>10</v>
      </c>
      <c r="H7" s="106" t="s">
        <v>11</v>
      </c>
      <c r="I7" s="93"/>
      <c r="J7" s="93"/>
      <c r="K7" s="116"/>
      <c r="L7" s="110"/>
      <c r="M7" s="63"/>
      <c r="N7" s="64" t="str">
        <f ca="1">+TEXT(G5,1)</f>
        <v>MC03042024</v>
      </c>
      <c r="O7" s="65"/>
      <c r="Q7" s="11"/>
    </row>
    <row r="8" spans="2:22" ht="17.25" customHeight="1" x14ac:dyDescent="0.3">
      <c r="B8" s="109"/>
      <c r="C8" s="109"/>
      <c r="E8" s="9"/>
      <c r="F8" s="12"/>
      <c r="G8" s="12"/>
      <c r="H8" s="93" t="s">
        <v>12</v>
      </c>
      <c r="I8" s="93"/>
      <c r="J8" s="93"/>
      <c r="K8" s="116"/>
      <c r="L8" s="110"/>
      <c r="M8" s="63"/>
      <c r="N8" s="66"/>
      <c r="O8" s="65">
        <v>5</v>
      </c>
      <c r="Q8" s="11"/>
    </row>
    <row r="9" spans="2:22" x14ac:dyDescent="0.3">
      <c r="B9" s="67" t="s">
        <v>13</v>
      </c>
      <c r="C9" s="68"/>
      <c r="E9" s="9"/>
      <c r="F9" s="12"/>
      <c r="G9" s="12"/>
      <c r="H9" s="93" t="s">
        <v>5</v>
      </c>
      <c r="I9" s="93"/>
      <c r="J9" s="93"/>
      <c r="K9" s="94"/>
      <c r="L9" s="94"/>
      <c r="Q9" s="88"/>
    </row>
    <row r="10" spans="2:22" ht="3.75" customHeight="1" x14ac:dyDescent="0.3">
      <c r="B10" s="26"/>
      <c r="C10" s="69"/>
      <c r="D10" s="13"/>
      <c r="H10" s="89"/>
      <c r="I10" s="89"/>
      <c r="J10" s="89"/>
      <c r="K10" s="94"/>
      <c r="L10" s="94"/>
      <c r="Q10" s="11"/>
    </row>
    <row r="11" spans="2:22" ht="18" customHeight="1" x14ac:dyDescent="0.3">
      <c r="B11" s="104" t="s">
        <v>14</v>
      </c>
      <c r="C11" s="104"/>
      <c r="D11" s="14">
        <v>10863665</v>
      </c>
      <c r="E11" s="13"/>
      <c r="F11" s="13"/>
      <c r="G11" s="13"/>
      <c r="H11" s="93" t="s">
        <v>1</v>
      </c>
      <c r="I11" s="93"/>
      <c r="J11" s="93"/>
      <c r="K11" s="95"/>
      <c r="L11" s="93"/>
    </row>
    <row r="12" spans="2:22" ht="18" customHeight="1" x14ac:dyDescent="0.3">
      <c r="B12" s="104" t="s">
        <v>15</v>
      </c>
      <c r="C12" s="104"/>
      <c r="D12" s="14" t="s">
        <v>128</v>
      </c>
      <c r="E12" s="13"/>
      <c r="F12" s="13"/>
      <c r="G12" s="13"/>
      <c r="Q12" s="70"/>
    </row>
    <row r="13" spans="2:22" ht="18" customHeight="1" x14ac:dyDescent="0.3">
      <c r="B13" s="103" t="s">
        <v>16</v>
      </c>
      <c r="C13" s="103"/>
      <c r="D13" s="36" t="s">
        <v>129</v>
      </c>
      <c r="E13" s="15"/>
      <c r="F13" s="15"/>
      <c r="G13" s="15"/>
      <c r="Q13" s="71"/>
    </row>
    <row r="14" spans="2:22" ht="18" customHeight="1" x14ac:dyDescent="0.3">
      <c r="B14" s="97" t="s">
        <v>17</v>
      </c>
      <c r="C14" s="97"/>
      <c r="D14" s="36" t="s">
        <v>130</v>
      </c>
      <c r="I14" s="9"/>
      <c r="J14" s="12"/>
    </row>
    <row r="15" spans="2:22" ht="3.75" customHeight="1" x14ac:dyDescent="0.3"/>
    <row r="16" spans="2:22" ht="18" customHeight="1" x14ac:dyDescent="0.3">
      <c r="B16" s="18" t="s">
        <v>18</v>
      </c>
      <c r="C16" s="18" t="s">
        <v>19</v>
      </c>
      <c r="D16" s="18" t="s">
        <v>20</v>
      </c>
      <c r="E16" s="18" t="s">
        <v>21</v>
      </c>
      <c r="F16" s="19" t="s">
        <v>22</v>
      </c>
      <c r="G16" s="19" t="s">
        <v>23</v>
      </c>
      <c r="H16" s="72">
        <v>0</v>
      </c>
      <c r="J16" s="73" t="s">
        <v>70</v>
      </c>
      <c r="L16" s="20" t="s">
        <v>24</v>
      </c>
      <c r="O16" s="91" t="s">
        <v>69</v>
      </c>
      <c r="R16" s="53" t="s">
        <v>65</v>
      </c>
      <c r="S16" s="53" t="s">
        <v>66</v>
      </c>
      <c r="T16" s="53" t="s">
        <v>67</v>
      </c>
      <c r="U16" s="53" t="s">
        <v>68</v>
      </c>
      <c r="V16" s="53" t="s">
        <v>69</v>
      </c>
    </row>
    <row r="17" spans="2:22" s="79" customFormat="1" ht="24.9" customHeight="1" x14ac:dyDescent="0.3">
      <c r="B17" s="90" t="s">
        <v>108</v>
      </c>
      <c r="C17" s="37"/>
      <c r="D17" s="38"/>
      <c r="E17" s="39"/>
      <c r="F17" s="21">
        <f t="shared" ref="F17:F36" si="0">+($H$16+J17)/1.18</f>
        <v>0</v>
      </c>
      <c r="G17" s="22">
        <f t="shared" ref="G17:G19" si="1">IFERROR(ROUND(+E17*F17,3),"-")</f>
        <v>0</v>
      </c>
      <c r="H17" s="74">
        <f t="shared" ref="H17:H36" si="2">+(F17+(F17*18%))*E17</f>
        <v>0</v>
      </c>
      <c r="I17" s="75">
        <f t="shared" ref="I17:I36" si="3">L17-E17</f>
        <v>50</v>
      </c>
      <c r="J17" s="76">
        <f t="shared" ref="J17:J36" si="4">IF(K17="MINIMO",S17,IF(K17="MEDIO",T17,IF(K17="MAX",U17,IF(K17="FLOTANTE",V17,"-"))))</f>
        <v>0</v>
      </c>
      <c r="K17" s="77" t="s">
        <v>66</v>
      </c>
      <c r="L17" s="78">
        <v>50</v>
      </c>
      <c r="N17" s="86">
        <f>+P17*E17</f>
        <v>0</v>
      </c>
      <c r="O17" s="80">
        <v>0.04</v>
      </c>
      <c r="P17" s="81">
        <f>+J17-R17</f>
        <v>0</v>
      </c>
      <c r="R17" s="81"/>
      <c r="S17" s="81">
        <f>+R17/(1-5%)</f>
        <v>0</v>
      </c>
      <c r="T17" s="81">
        <f>+S17/(1-6%)</f>
        <v>0</v>
      </c>
      <c r="U17" s="81">
        <f>+T17/(1-7%)</f>
        <v>0</v>
      </c>
      <c r="V17" s="81">
        <f t="shared" ref="V17:V36" si="5">+R17/(1-O17)</f>
        <v>0</v>
      </c>
    </row>
    <row r="18" spans="2:22" s="79" customFormat="1" ht="24.9" customHeight="1" x14ac:dyDescent="0.3">
      <c r="B18" s="90" t="s">
        <v>109</v>
      </c>
      <c r="C18" s="37"/>
      <c r="D18" s="38"/>
      <c r="E18" s="39"/>
      <c r="F18" s="21">
        <f t="shared" si="0"/>
        <v>0</v>
      </c>
      <c r="G18" s="22">
        <f t="shared" si="1"/>
        <v>0</v>
      </c>
      <c r="H18" s="74">
        <f t="shared" si="2"/>
        <v>0</v>
      </c>
      <c r="I18" s="75">
        <f t="shared" si="3"/>
        <v>0</v>
      </c>
      <c r="J18" s="76">
        <f t="shared" si="4"/>
        <v>0</v>
      </c>
      <c r="K18" s="77" t="s">
        <v>66</v>
      </c>
      <c r="L18" s="82">
        <v>0</v>
      </c>
      <c r="N18" s="86">
        <f t="shared" ref="N18:N36" si="6">+P18*E18</f>
        <v>0</v>
      </c>
      <c r="O18" s="80">
        <v>0.1</v>
      </c>
      <c r="P18" s="81">
        <f t="shared" ref="P18:P36" si="7">+J18-R18</f>
        <v>0</v>
      </c>
      <c r="R18" s="81"/>
      <c r="S18" s="81">
        <f t="shared" ref="S18:S36" si="8">+R18/(1-5%)</f>
        <v>0</v>
      </c>
      <c r="T18" s="81">
        <f t="shared" ref="T18:T36" si="9">+S18/(1-6%)</f>
        <v>0</v>
      </c>
      <c r="U18" s="81">
        <f t="shared" ref="U18:U36" si="10">+T18/(1-7%)</f>
        <v>0</v>
      </c>
      <c r="V18" s="81">
        <f t="shared" si="5"/>
        <v>0</v>
      </c>
    </row>
    <row r="19" spans="2:22" s="79" customFormat="1" ht="24.75" customHeight="1" x14ac:dyDescent="0.3">
      <c r="B19" s="90" t="s">
        <v>110</v>
      </c>
      <c r="C19" s="37"/>
      <c r="D19" s="38"/>
      <c r="E19" s="39"/>
      <c r="F19" s="21">
        <f t="shared" si="0"/>
        <v>0</v>
      </c>
      <c r="G19" s="22">
        <f t="shared" si="1"/>
        <v>0</v>
      </c>
      <c r="H19" s="74">
        <f t="shared" si="2"/>
        <v>0</v>
      </c>
      <c r="I19" s="75">
        <f t="shared" si="3"/>
        <v>0</v>
      </c>
      <c r="J19" s="76">
        <f t="shared" si="4"/>
        <v>0</v>
      </c>
      <c r="K19" s="77" t="s">
        <v>69</v>
      </c>
      <c r="L19" s="82">
        <v>0</v>
      </c>
      <c r="N19" s="86">
        <f t="shared" si="6"/>
        <v>0</v>
      </c>
      <c r="O19" s="80">
        <v>2.5000000000000001E-2</v>
      </c>
      <c r="P19" s="81">
        <f t="shared" si="7"/>
        <v>0</v>
      </c>
      <c r="R19" s="81"/>
      <c r="S19" s="81">
        <f t="shared" si="8"/>
        <v>0</v>
      </c>
      <c r="T19" s="81">
        <f t="shared" si="9"/>
        <v>0</v>
      </c>
      <c r="U19" s="81">
        <f t="shared" si="10"/>
        <v>0</v>
      </c>
      <c r="V19" s="81">
        <f t="shared" si="5"/>
        <v>0</v>
      </c>
    </row>
    <row r="20" spans="2:22" s="79" customFormat="1" ht="24.9" customHeight="1" x14ac:dyDescent="0.3">
      <c r="B20" s="90" t="s">
        <v>111</v>
      </c>
      <c r="C20" s="37"/>
      <c r="D20" s="38"/>
      <c r="E20" s="39"/>
      <c r="F20" s="21">
        <f t="shared" si="0"/>
        <v>0</v>
      </c>
      <c r="G20" s="22">
        <f>IFERROR(ROUND(+E20*F20,3),"-")</f>
        <v>0</v>
      </c>
      <c r="H20" s="74">
        <f>+(F20+(F20*18%))*E20</f>
        <v>0</v>
      </c>
      <c r="I20" s="75">
        <f t="shared" si="3"/>
        <v>0</v>
      </c>
      <c r="J20" s="76">
        <f t="shared" si="4"/>
        <v>0</v>
      </c>
      <c r="K20" s="77" t="s">
        <v>66</v>
      </c>
      <c r="L20" s="82">
        <v>0</v>
      </c>
      <c r="N20" s="86">
        <f t="shared" si="6"/>
        <v>0</v>
      </c>
      <c r="O20" s="80">
        <v>0.1</v>
      </c>
      <c r="P20" s="81">
        <f t="shared" si="7"/>
        <v>0</v>
      </c>
      <c r="R20" s="81"/>
      <c r="S20" s="81">
        <f t="shared" si="8"/>
        <v>0</v>
      </c>
      <c r="T20" s="81">
        <f t="shared" si="9"/>
        <v>0</v>
      </c>
      <c r="U20" s="81">
        <f t="shared" si="10"/>
        <v>0</v>
      </c>
      <c r="V20" s="81">
        <f t="shared" si="5"/>
        <v>0</v>
      </c>
    </row>
    <row r="21" spans="2:22" s="79" customFormat="1" ht="24.9" customHeight="1" x14ac:dyDescent="0.3">
      <c r="B21" s="90" t="s">
        <v>112</v>
      </c>
      <c r="C21" s="37"/>
      <c r="D21" s="38"/>
      <c r="E21" s="39"/>
      <c r="F21" s="21">
        <f t="shared" si="0"/>
        <v>0</v>
      </c>
      <c r="G21" s="22">
        <f>IFERROR(ROUND(+E21*F21,3),"-")</f>
        <v>0</v>
      </c>
      <c r="H21" s="74">
        <f t="shared" ref="H21:H25" si="11">+(F21+(F21*18%))*E21</f>
        <v>0</v>
      </c>
      <c r="I21" s="75">
        <f t="shared" si="3"/>
        <v>0</v>
      </c>
      <c r="J21" s="76">
        <f t="shared" si="4"/>
        <v>0</v>
      </c>
      <c r="K21" s="77" t="s">
        <v>66</v>
      </c>
      <c r="L21" s="82">
        <v>0</v>
      </c>
      <c r="N21" s="86">
        <f t="shared" si="6"/>
        <v>0</v>
      </c>
      <c r="O21" s="80">
        <v>0.1</v>
      </c>
      <c r="P21" s="81">
        <f t="shared" si="7"/>
        <v>0</v>
      </c>
      <c r="R21" s="81"/>
      <c r="S21" s="81">
        <f t="shared" si="8"/>
        <v>0</v>
      </c>
      <c r="T21" s="81">
        <f t="shared" si="9"/>
        <v>0</v>
      </c>
      <c r="U21" s="81">
        <f t="shared" si="10"/>
        <v>0</v>
      </c>
      <c r="V21" s="81">
        <f t="shared" si="5"/>
        <v>0</v>
      </c>
    </row>
    <row r="22" spans="2:22" s="79" customFormat="1" ht="24.9" customHeight="1" x14ac:dyDescent="0.3">
      <c r="B22" s="90" t="s">
        <v>113</v>
      </c>
      <c r="C22" s="37"/>
      <c r="D22" s="38"/>
      <c r="E22" s="39"/>
      <c r="F22" s="21">
        <f t="shared" si="0"/>
        <v>0</v>
      </c>
      <c r="G22" s="22">
        <f t="shared" ref="G22:G36" si="12">IFERROR(ROUND(+E22*F22,3),"-")</f>
        <v>0</v>
      </c>
      <c r="H22" s="74">
        <f t="shared" si="11"/>
        <v>0</v>
      </c>
      <c r="I22" s="75">
        <f t="shared" si="3"/>
        <v>0</v>
      </c>
      <c r="J22" s="76">
        <f t="shared" si="4"/>
        <v>0</v>
      </c>
      <c r="K22" s="77" t="s">
        <v>66</v>
      </c>
      <c r="L22" s="82">
        <v>0</v>
      </c>
      <c r="N22" s="86">
        <f t="shared" si="6"/>
        <v>0</v>
      </c>
      <c r="O22" s="80">
        <v>0.1</v>
      </c>
      <c r="P22" s="81">
        <f t="shared" si="7"/>
        <v>0</v>
      </c>
      <c r="R22" s="81"/>
      <c r="S22" s="81">
        <f t="shared" si="8"/>
        <v>0</v>
      </c>
      <c r="T22" s="81">
        <f t="shared" si="9"/>
        <v>0</v>
      </c>
      <c r="U22" s="81">
        <f t="shared" si="10"/>
        <v>0</v>
      </c>
      <c r="V22" s="81">
        <f t="shared" si="5"/>
        <v>0</v>
      </c>
    </row>
    <row r="23" spans="2:22" s="79" customFormat="1" ht="24.9" customHeight="1" x14ac:dyDescent="0.3">
      <c r="B23" s="90" t="s">
        <v>114</v>
      </c>
      <c r="C23" s="37"/>
      <c r="D23" s="38"/>
      <c r="E23" s="39"/>
      <c r="F23" s="21">
        <f t="shared" si="0"/>
        <v>0</v>
      </c>
      <c r="G23" s="22">
        <f t="shared" si="12"/>
        <v>0</v>
      </c>
      <c r="H23" s="74">
        <f t="shared" si="11"/>
        <v>0</v>
      </c>
      <c r="I23" s="75">
        <f t="shared" si="3"/>
        <v>0</v>
      </c>
      <c r="J23" s="76">
        <f t="shared" si="4"/>
        <v>0</v>
      </c>
      <c r="K23" s="77" t="s">
        <v>66</v>
      </c>
      <c r="L23" s="82">
        <v>0</v>
      </c>
      <c r="N23" s="86">
        <f t="shared" si="6"/>
        <v>0</v>
      </c>
      <c r="O23" s="80">
        <v>0.1</v>
      </c>
      <c r="P23" s="81">
        <f t="shared" si="7"/>
        <v>0</v>
      </c>
      <c r="R23" s="81"/>
      <c r="S23" s="81">
        <f t="shared" si="8"/>
        <v>0</v>
      </c>
      <c r="T23" s="81">
        <f t="shared" si="9"/>
        <v>0</v>
      </c>
      <c r="U23" s="81">
        <f t="shared" si="10"/>
        <v>0</v>
      </c>
      <c r="V23" s="81">
        <f t="shared" si="5"/>
        <v>0</v>
      </c>
    </row>
    <row r="24" spans="2:22" s="79" customFormat="1" ht="24.9" customHeight="1" x14ac:dyDescent="0.3">
      <c r="B24" s="90" t="s">
        <v>115</v>
      </c>
      <c r="C24" s="37"/>
      <c r="D24" s="38"/>
      <c r="E24" s="39"/>
      <c r="F24" s="21">
        <f t="shared" si="0"/>
        <v>0</v>
      </c>
      <c r="G24" s="22">
        <f t="shared" si="12"/>
        <v>0</v>
      </c>
      <c r="H24" s="74">
        <f t="shared" si="11"/>
        <v>0</v>
      </c>
      <c r="I24" s="75">
        <f t="shared" si="3"/>
        <v>0</v>
      </c>
      <c r="J24" s="76">
        <f t="shared" si="4"/>
        <v>0</v>
      </c>
      <c r="K24" s="77" t="s">
        <v>66</v>
      </c>
      <c r="L24" s="82">
        <v>0</v>
      </c>
      <c r="N24" s="86">
        <f t="shared" si="6"/>
        <v>0</v>
      </c>
      <c r="O24" s="80">
        <v>0.1</v>
      </c>
      <c r="P24" s="81">
        <f t="shared" si="7"/>
        <v>0</v>
      </c>
      <c r="R24" s="81"/>
      <c r="S24" s="81">
        <f t="shared" si="8"/>
        <v>0</v>
      </c>
      <c r="T24" s="81">
        <f t="shared" si="9"/>
        <v>0</v>
      </c>
      <c r="U24" s="81">
        <f t="shared" si="10"/>
        <v>0</v>
      </c>
      <c r="V24" s="81">
        <f t="shared" si="5"/>
        <v>0</v>
      </c>
    </row>
    <row r="25" spans="2:22" s="79" customFormat="1" ht="24.9" customHeight="1" x14ac:dyDescent="0.3">
      <c r="B25" s="90" t="s">
        <v>116</v>
      </c>
      <c r="C25" s="37"/>
      <c r="D25" s="38"/>
      <c r="E25" s="39"/>
      <c r="F25" s="21">
        <f t="shared" si="0"/>
        <v>0</v>
      </c>
      <c r="G25" s="22">
        <f t="shared" si="12"/>
        <v>0</v>
      </c>
      <c r="H25" s="74">
        <f t="shared" si="11"/>
        <v>0</v>
      </c>
      <c r="I25" s="75">
        <f t="shared" si="3"/>
        <v>0</v>
      </c>
      <c r="J25" s="76">
        <f t="shared" si="4"/>
        <v>0</v>
      </c>
      <c r="K25" s="77" t="s">
        <v>66</v>
      </c>
      <c r="L25" s="82">
        <v>0</v>
      </c>
      <c r="N25" s="86">
        <f t="shared" si="6"/>
        <v>0</v>
      </c>
      <c r="O25" s="80">
        <v>0.1</v>
      </c>
      <c r="P25" s="81">
        <f t="shared" si="7"/>
        <v>0</v>
      </c>
      <c r="R25" s="81"/>
      <c r="S25" s="81">
        <f t="shared" si="8"/>
        <v>0</v>
      </c>
      <c r="T25" s="81">
        <f t="shared" si="9"/>
        <v>0</v>
      </c>
      <c r="U25" s="81">
        <f t="shared" si="10"/>
        <v>0</v>
      </c>
      <c r="V25" s="81">
        <f t="shared" si="5"/>
        <v>0</v>
      </c>
    </row>
    <row r="26" spans="2:22" s="79" customFormat="1" ht="24.9" customHeight="1" x14ac:dyDescent="0.3">
      <c r="B26" s="90" t="s">
        <v>107</v>
      </c>
      <c r="C26" s="37"/>
      <c r="D26" s="40"/>
      <c r="E26" s="39"/>
      <c r="F26" s="21">
        <f t="shared" si="0"/>
        <v>0</v>
      </c>
      <c r="G26" s="22">
        <f t="shared" si="12"/>
        <v>0</v>
      </c>
      <c r="H26" s="74">
        <f t="shared" si="2"/>
        <v>0</v>
      </c>
      <c r="I26" s="75">
        <f t="shared" si="3"/>
        <v>0</v>
      </c>
      <c r="J26" s="76">
        <f t="shared" si="4"/>
        <v>0</v>
      </c>
      <c r="K26" s="77" t="s">
        <v>66</v>
      </c>
      <c r="L26" s="82">
        <v>0</v>
      </c>
      <c r="N26" s="86">
        <f t="shared" si="6"/>
        <v>0</v>
      </c>
      <c r="O26" s="80">
        <v>0.1</v>
      </c>
      <c r="P26" s="81">
        <f t="shared" si="7"/>
        <v>0</v>
      </c>
      <c r="R26" s="81"/>
      <c r="S26" s="81">
        <f t="shared" si="8"/>
        <v>0</v>
      </c>
      <c r="T26" s="81">
        <f t="shared" si="9"/>
        <v>0</v>
      </c>
      <c r="U26" s="81">
        <f t="shared" si="10"/>
        <v>0</v>
      </c>
      <c r="V26" s="81">
        <f t="shared" si="5"/>
        <v>0</v>
      </c>
    </row>
    <row r="27" spans="2:22" s="79" customFormat="1" ht="24.9" customHeight="1" x14ac:dyDescent="0.3">
      <c r="B27" s="90" t="s">
        <v>117</v>
      </c>
      <c r="C27" s="37"/>
      <c r="D27" s="40"/>
      <c r="E27" s="39"/>
      <c r="F27" s="21">
        <f t="shared" si="0"/>
        <v>0</v>
      </c>
      <c r="G27" s="22">
        <f t="shared" si="12"/>
        <v>0</v>
      </c>
      <c r="H27" s="74">
        <f t="shared" si="2"/>
        <v>0</v>
      </c>
      <c r="I27" s="75">
        <f t="shared" si="3"/>
        <v>0</v>
      </c>
      <c r="J27" s="76">
        <f t="shared" si="4"/>
        <v>0</v>
      </c>
      <c r="K27" s="77" t="s">
        <v>66</v>
      </c>
      <c r="L27" s="82">
        <v>0</v>
      </c>
      <c r="N27" s="86">
        <f t="shared" si="6"/>
        <v>0</v>
      </c>
      <c r="O27" s="80">
        <v>0.1</v>
      </c>
      <c r="P27" s="81">
        <f t="shared" si="7"/>
        <v>0</v>
      </c>
      <c r="R27" s="81"/>
      <c r="S27" s="81">
        <f t="shared" si="8"/>
        <v>0</v>
      </c>
      <c r="T27" s="81">
        <f t="shared" si="9"/>
        <v>0</v>
      </c>
      <c r="U27" s="81">
        <f t="shared" si="10"/>
        <v>0</v>
      </c>
      <c r="V27" s="81">
        <f t="shared" si="5"/>
        <v>0</v>
      </c>
    </row>
    <row r="28" spans="2:22" s="79" customFormat="1" ht="24.9" customHeight="1" x14ac:dyDescent="0.3">
      <c r="B28" s="90" t="s">
        <v>118</v>
      </c>
      <c r="C28" s="37"/>
      <c r="D28" s="40"/>
      <c r="E28" s="39"/>
      <c r="F28" s="21">
        <f t="shared" si="0"/>
        <v>0</v>
      </c>
      <c r="G28" s="22">
        <f t="shared" si="12"/>
        <v>0</v>
      </c>
      <c r="H28" s="74">
        <f t="shared" si="2"/>
        <v>0</v>
      </c>
      <c r="I28" s="75">
        <f t="shared" si="3"/>
        <v>0</v>
      </c>
      <c r="J28" s="76">
        <f t="shared" si="4"/>
        <v>0</v>
      </c>
      <c r="K28" s="77" t="s">
        <v>66</v>
      </c>
      <c r="L28" s="82">
        <v>0</v>
      </c>
      <c r="N28" s="86">
        <f t="shared" si="6"/>
        <v>0</v>
      </c>
      <c r="O28" s="80">
        <v>0.1</v>
      </c>
      <c r="P28" s="81">
        <f t="shared" si="7"/>
        <v>0</v>
      </c>
      <c r="R28" s="81"/>
      <c r="S28" s="81">
        <f t="shared" si="8"/>
        <v>0</v>
      </c>
      <c r="T28" s="81">
        <f t="shared" si="9"/>
        <v>0</v>
      </c>
      <c r="U28" s="81">
        <f t="shared" si="10"/>
        <v>0</v>
      </c>
      <c r="V28" s="81">
        <f t="shared" si="5"/>
        <v>0</v>
      </c>
    </row>
    <row r="29" spans="2:22" s="79" customFormat="1" ht="24.9" customHeight="1" x14ac:dyDescent="0.3">
      <c r="B29" s="90" t="s">
        <v>119</v>
      </c>
      <c r="C29" s="37"/>
      <c r="D29" s="40"/>
      <c r="E29" s="39"/>
      <c r="F29" s="21">
        <f t="shared" si="0"/>
        <v>0</v>
      </c>
      <c r="G29" s="22">
        <f t="shared" si="12"/>
        <v>0</v>
      </c>
      <c r="H29" s="74">
        <f t="shared" si="2"/>
        <v>0</v>
      </c>
      <c r="I29" s="75">
        <f t="shared" si="3"/>
        <v>0</v>
      </c>
      <c r="J29" s="76">
        <f t="shared" si="4"/>
        <v>0</v>
      </c>
      <c r="K29" s="77" t="s">
        <v>66</v>
      </c>
      <c r="L29" s="82">
        <v>0</v>
      </c>
      <c r="N29" s="86">
        <f t="shared" si="6"/>
        <v>0</v>
      </c>
      <c r="O29" s="80">
        <v>0.1</v>
      </c>
      <c r="P29" s="81">
        <f t="shared" si="7"/>
        <v>0</v>
      </c>
      <c r="R29" s="81"/>
      <c r="S29" s="81">
        <f t="shared" si="8"/>
        <v>0</v>
      </c>
      <c r="T29" s="81">
        <f t="shared" si="9"/>
        <v>0</v>
      </c>
      <c r="U29" s="81">
        <f t="shared" si="10"/>
        <v>0</v>
      </c>
      <c r="V29" s="81">
        <f t="shared" si="5"/>
        <v>0</v>
      </c>
    </row>
    <row r="30" spans="2:22" s="79" customFormat="1" ht="24.9" customHeight="1" x14ac:dyDescent="0.3">
      <c r="B30" s="90" t="s">
        <v>120</v>
      </c>
      <c r="C30" s="37"/>
      <c r="D30" s="40"/>
      <c r="E30" s="39"/>
      <c r="F30" s="21">
        <f t="shared" si="0"/>
        <v>0</v>
      </c>
      <c r="G30" s="22">
        <f t="shared" si="12"/>
        <v>0</v>
      </c>
      <c r="H30" s="74">
        <f t="shared" si="2"/>
        <v>0</v>
      </c>
      <c r="I30" s="75">
        <f t="shared" si="3"/>
        <v>0</v>
      </c>
      <c r="J30" s="76">
        <f t="shared" si="4"/>
        <v>0</v>
      </c>
      <c r="K30" s="77" t="s">
        <v>66</v>
      </c>
      <c r="L30" s="82">
        <v>0</v>
      </c>
      <c r="N30" s="86">
        <f t="shared" si="6"/>
        <v>0</v>
      </c>
      <c r="O30" s="80">
        <v>0.1</v>
      </c>
      <c r="P30" s="81">
        <f t="shared" si="7"/>
        <v>0</v>
      </c>
      <c r="R30" s="81"/>
      <c r="S30" s="81">
        <f t="shared" si="8"/>
        <v>0</v>
      </c>
      <c r="T30" s="81">
        <f t="shared" si="9"/>
        <v>0</v>
      </c>
      <c r="U30" s="81">
        <f t="shared" si="10"/>
        <v>0</v>
      </c>
      <c r="V30" s="81">
        <f t="shared" si="5"/>
        <v>0</v>
      </c>
    </row>
    <row r="31" spans="2:22" s="79" customFormat="1" ht="24.9" customHeight="1" x14ac:dyDescent="0.3">
      <c r="B31" s="90" t="s">
        <v>121</v>
      </c>
      <c r="C31" s="37"/>
      <c r="D31" s="40"/>
      <c r="E31" s="41"/>
      <c r="F31" s="21">
        <f t="shared" si="0"/>
        <v>0</v>
      </c>
      <c r="G31" s="22">
        <f t="shared" si="12"/>
        <v>0</v>
      </c>
      <c r="H31" s="74">
        <f t="shared" si="2"/>
        <v>0</v>
      </c>
      <c r="I31" s="75">
        <f t="shared" si="3"/>
        <v>0</v>
      </c>
      <c r="J31" s="76">
        <f t="shared" si="4"/>
        <v>0</v>
      </c>
      <c r="K31" s="77" t="s">
        <v>66</v>
      </c>
      <c r="L31" s="82">
        <v>0</v>
      </c>
      <c r="N31" s="86">
        <f t="shared" si="6"/>
        <v>0</v>
      </c>
      <c r="O31" s="80">
        <v>0.1</v>
      </c>
      <c r="P31" s="81">
        <f t="shared" si="7"/>
        <v>0</v>
      </c>
      <c r="R31" s="81"/>
      <c r="S31" s="81">
        <f t="shared" si="8"/>
        <v>0</v>
      </c>
      <c r="T31" s="81">
        <f t="shared" si="9"/>
        <v>0</v>
      </c>
      <c r="U31" s="81">
        <f t="shared" si="10"/>
        <v>0</v>
      </c>
      <c r="V31" s="81">
        <f t="shared" si="5"/>
        <v>0</v>
      </c>
    </row>
    <row r="32" spans="2:22" s="79" customFormat="1" ht="24.9" customHeight="1" x14ac:dyDescent="0.3">
      <c r="B32" s="90" t="s">
        <v>122</v>
      </c>
      <c r="C32" s="37"/>
      <c r="D32" s="42"/>
      <c r="E32" s="37"/>
      <c r="F32" s="21">
        <f t="shared" si="0"/>
        <v>0</v>
      </c>
      <c r="G32" s="22">
        <f t="shared" si="12"/>
        <v>0</v>
      </c>
      <c r="H32" s="74">
        <f t="shared" si="2"/>
        <v>0</v>
      </c>
      <c r="I32" s="75">
        <f t="shared" si="3"/>
        <v>0</v>
      </c>
      <c r="J32" s="76">
        <f t="shared" si="4"/>
        <v>0</v>
      </c>
      <c r="K32" s="77" t="s">
        <v>66</v>
      </c>
      <c r="L32" s="82">
        <v>0</v>
      </c>
      <c r="N32" s="86">
        <f t="shared" si="6"/>
        <v>0</v>
      </c>
      <c r="O32" s="80">
        <v>0.1</v>
      </c>
      <c r="P32" s="81">
        <f t="shared" si="7"/>
        <v>0</v>
      </c>
      <c r="R32" s="81"/>
      <c r="S32" s="81">
        <f t="shared" si="8"/>
        <v>0</v>
      </c>
      <c r="T32" s="81">
        <f t="shared" si="9"/>
        <v>0</v>
      </c>
      <c r="U32" s="81">
        <f t="shared" si="10"/>
        <v>0</v>
      </c>
      <c r="V32" s="81">
        <f t="shared" si="5"/>
        <v>0</v>
      </c>
    </row>
    <row r="33" spans="2:22" s="79" customFormat="1" ht="24.9" customHeight="1" x14ac:dyDescent="0.3">
      <c r="B33" s="90" t="s">
        <v>123</v>
      </c>
      <c r="C33" s="37"/>
      <c r="D33" s="42"/>
      <c r="E33" s="37"/>
      <c r="F33" s="21">
        <f t="shared" si="0"/>
        <v>0</v>
      </c>
      <c r="G33" s="22">
        <f t="shared" si="12"/>
        <v>0</v>
      </c>
      <c r="H33" s="74">
        <f t="shared" si="2"/>
        <v>0</v>
      </c>
      <c r="I33" s="75">
        <f t="shared" si="3"/>
        <v>0</v>
      </c>
      <c r="J33" s="76">
        <f t="shared" si="4"/>
        <v>0</v>
      </c>
      <c r="K33" s="77" t="s">
        <v>66</v>
      </c>
      <c r="L33" s="82">
        <v>0</v>
      </c>
      <c r="N33" s="86">
        <f t="shared" si="6"/>
        <v>0</v>
      </c>
      <c r="O33" s="80">
        <v>0.1</v>
      </c>
      <c r="P33" s="81">
        <f t="shared" si="7"/>
        <v>0</v>
      </c>
      <c r="R33" s="81"/>
      <c r="S33" s="81">
        <f t="shared" si="8"/>
        <v>0</v>
      </c>
      <c r="T33" s="81">
        <f t="shared" si="9"/>
        <v>0</v>
      </c>
      <c r="U33" s="81">
        <f t="shared" si="10"/>
        <v>0</v>
      </c>
      <c r="V33" s="81">
        <f t="shared" si="5"/>
        <v>0</v>
      </c>
    </row>
    <row r="34" spans="2:22" s="79" customFormat="1" ht="24.9" customHeight="1" x14ac:dyDescent="0.3">
      <c r="B34" s="90" t="s">
        <v>124</v>
      </c>
      <c r="C34" s="37"/>
      <c r="D34" s="42"/>
      <c r="E34" s="37"/>
      <c r="F34" s="21">
        <f t="shared" si="0"/>
        <v>0</v>
      </c>
      <c r="G34" s="22">
        <f t="shared" si="12"/>
        <v>0</v>
      </c>
      <c r="H34" s="74">
        <f t="shared" si="2"/>
        <v>0</v>
      </c>
      <c r="I34" s="75">
        <f t="shared" si="3"/>
        <v>0</v>
      </c>
      <c r="J34" s="76">
        <f t="shared" si="4"/>
        <v>0</v>
      </c>
      <c r="K34" s="77" t="s">
        <v>66</v>
      </c>
      <c r="L34" s="82">
        <v>0</v>
      </c>
      <c r="N34" s="86">
        <f t="shared" si="6"/>
        <v>0</v>
      </c>
      <c r="O34" s="80">
        <v>0.1</v>
      </c>
      <c r="P34" s="81">
        <f t="shared" si="7"/>
        <v>0</v>
      </c>
      <c r="R34" s="81"/>
      <c r="S34" s="81">
        <f t="shared" si="8"/>
        <v>0</v>
      </c>
      <c r="T34" s="81">
        <f t="shared" si="9"/>
        <v>0</v>
      </c>
      <c r="U34" s="81">
        <f t="shared" si="10"/>
        <v>0</v>
      </c>
      <c r="V34" s="81">
        <f t="shared" si="5"/>
        <v>0</v>
      </c>
    </row>
    <row r="35" spans="2:22" s="79" customFormat="1" ht="24.9" customHeight="1" x14ac:dyDescent="0.3">
      <c r="B35" s="90" t="s">
        <v>125</v>
      </c>
      <c r="C35" s="37"/>
      <c r="D35" s="42"/>
      <c r="E35" s="37"/>
      <c r="F35" s="21">
        <f t="shared" si="0"/>
        <v>0</v>
      </c>
      <c r="G35" s="22">
        <f t="shared" si="12"/>
        <v>0</v>
      </c>
      <c r="H35" s="74">
        <f t="shared" si="2"/>
        <v>0</v>
      </c>
      <c r="I35" s="75">
        <f t="shared" si="3"/>
        <v>0</v>
      </c>
      <c r="J35" s="76">
        <f t="shared" si="4"/>
        <v>0</v>
      </c>
      <c r="K35" s="77" t="s">
        <v>66</v>
      </c>
      <c r="L35" s="82">
        <v>0</v>
      </c>
      <c r="N35" s="86">
        <f t="shared" si="6"/>
        <v>0</v>
      </c>
      <c r="O35" s="80">
        <v>0.1</v>
      </c>
      <c r="P35" s="81">
        <f t="shared" si="7"/>
        <v>0</v>
      </c>
      <c r="R35" s="81"/>
      <c r="S35" s="81">
        <f t="shared" si="8"/>
        <v>0</v>
      </c>
      <c r="T35" s="81">
        <f t="shared" si="9"/>
        <v>0</v>
      </c>
      <c r="U35" s="81">
        <f t="shared" si="10"/>
        <v>0</v>
      </c>
      <c r="V35" s="81">
        <f t="shared" si="5"/>
        <v>0</v>
      </c>
    </row>
    <row r="36" spans="2:22" s="79" customFormat="1" ht="24.9" customHeight="1" x14ac:dyDescent="0.3">
      <c r="B36" s="90" t="s">
        <v>126</v>
      </c>
      <c r="C36" s="37"/>
      <c r="D36" s="42"/>
      <c r="E36" s="37"/>
      <c r="F36" s="21">
        <f t="shared" si="0"/>
        <v>0</v>
      </c>
      <c r="G36" s="22">
        <f t="shared" si="12"/>
        <v>0</v>
      </c>
      <c r="H36" s="74">
        <f t="shared" si="2"/>
        <v>0</v>
      </c>
      <c r="I36" s="75">
        <f t="shared" si="3"/>
        <v>0</v>
      </c>
      <c r="J36" s="76">
        <f t="shared" si="4"/>
        <v>0</v>
      </c>
      <c r="K36" s="77" t="s">
        <v>66</v>
      </c>
      <c r="L36" s="83">
        <v>0</v>
      </c>
      <c r="N36" s="86">
        <f t="shared" si="6"/>
        <v>0</v>
      </c>
      <c r="O36" s="80">
        <v>0.1</v>
      </c>
      <c r="P36" s="81">
        <f t="shared" si="7"/>
        <v>0</v>
      </c>
      <c r="R36" s="81"/>
      <c r="S36" s="81">
        <f t="shared" si="8"/>
        <v>0</v>
      </c>
      <c r="T36" s="81">
        <f t="shared" si="9"/>
        <v>0</v>
      </c>
      <c r="U36" s="81">
        <f t="shared" si="10"/>
        <v>0</v>
      </c>
      <c r="V36" s="81">
        <f t="shared" si="5"/>
        <v>0</v>
      </c>
    </row>
    <row r="37" spans="2:22" ht="3.75" customHeight="1" x14ac:dyDescent="0.3">
      <c r="B37" s="23"/>
      <c r="C37" s="43"/>
      <c r="D37" s="44"/>
      <c r="E37" s="45"/>
      <c r="F37" s="46"/>
      <c r="G37" s="47"/>
      <c r="J37" s="76" t="str">
        <f t="shared" ref="J37" si="13">IF(K37="MINIMO",S37,IF(K37="MEDIO",T37,IF(K37="MAX",U37,IF(K37="FLOTANTE",V37,"-"))))</f>
        <v>-</v>
      </c>
      <c r="K37" s="84"/>
    </row>
    <row r="38" spans="2:22" ht="18" customHeight="1" x14ac:dyDescent="0.3">
      <c r="C38" s="48"/>
      <c r="F38" s="24" t="s">
        <v>25</v>
      </c>
      <c r="G38" s="25">
        <f>SUM(G17:G37)</f>
        <v>0</v>
      </c>
      <c r="N38" s="10">
        <f>SUM(N17:N37)</f>
        <v>0</v>
      </c>
      <c r="P38" s="85">
        <f>SUM(P17:P37)</f>
        <v>0</v>
      </c>
    </row>
    <row r="39" spans="2:22" ht="18" customHeight="1" x14ac:dyDescent="0.3">
      <c r="C39" s="48"/>
      <c r="E39" s="26"/>
      <c r="F39" s="24" t="s">
        <v>26</v>
      </c>
      <c r="G39" s="25">
        <f>+G40-G38</f>
        <v>0</v>
      </c>
    </row>
    <row r="40" spans="2:22" ht="18" customHeight="1" x14ac:dyDescent="0.3">
      <c r="B40" s="17">
        <f>J40</f>
        <v>0</v>
      </c>
      <c r="F40" s="24" t="s">
        <v>27</v>
      </c>
      <c r="G40" s="27">
        <f>ROUND((G38+(G38*18%)),2)</f>
        <v>0</v>
      </c>
    </row>
    <row r="41" spans="2:22" ht="10.5" customHeight="1" x14ac:dyDescent="0.3">
      <c r="B41" s="17" t="s">
        <v>28</v>
      </c>
      <c r="E41" s="16"/>
      <c r="F41" s="24"/>
      <c r="G41" s="28"/>
      <c r="J41" s="97"/>
      <c r="K41" s="97"/>
      <c r="L41" s="97"/>
      <c r="M41" s="97"/>
    </row>
    <row r="42" spans="2:22" ht="18" customHeight="1" x14ac:dyDescent="0.3">
      <c r="B42" s="29" t="s">
        <v>29</v>
      </c>
      <c r="C42" s="29"/>
      <c r="D42" s="29"/>
      <c r="E42" s="30"/>
      <c r="F42" s="30"/>
      <c r="G42" s="28"/>
    </row>
    <row r="43" spans="2:22" ht="18" customHeight="1" x14ac:dyDescent="0.3">
      <c r="C43" s="16"/>
      <c r="D43" s="16"/>
      <c r="E43" s="16"/>
    </row>
    <row r="44" spans="2:22" ht="18" customHeight="1" x14ac:dyDescent="0.3">
      <c r="B44" s="32" t="s">
        <v>71</v>
      </c>
    </row>
    <row r="45" spans="2:22" ht="18" customHeight="1" x14ac:dyDescent="0.3">
      <c r="B45" s="31" t="s">
        <v>30</v>
      </c>
    </row>
    <row r="46" spans="2:22" ht="18" customHeight="1" x14ac:dyDescent="0.3">
      <c r="B46" s="31" t="s">
        <v>31</v>
      </c>
    </row>
    <row r="47" spans="2:22" ht="18" customHeight="1" x14ac:dyDescent="0.3">
      <c r="B47" s="31" t="s">
        <v>32</v>
      </c>
    </row>
    <row r="48" spans="2:22" ht="18" customHeight="1" x14ac:dyDescent="0.3">
      <c r="B48" s="31" t="s">
        <v>33</v>
      </c>
    </row>
    <row r="49" spans="2:7" ht="18" customHeight="1" x14ac:dyDescent="0.3">
      <c r="B49" s="32" t="s">
        <v>34</v>
      </c>
      <c r="C49" s="16"/>
      <c r="D49" s="16"/>
      <c r="E49" s="16"/>
      <c r="F49" s="16"/>
      <c r="G49" s="16"/>
    </row>
    <row r="50" spans="2:7" ht="18" customHeight="1" x14ac:dyDescent="0.3">
      <c r="B50" s="32" t="s">
        <v>35</v>
      </c>
      <c r="C50" s="16"/>
      <c r="D50" s="16"/>
      <c r="E50" s="16"/>
      <c r="F50" s="16"/>
      <c r="G50" s="16"/>
    </row>
    <row r="51" spans="2:7" ht="18" customHeight="1" x14ac:dyDescent="0.3">
      <c r="B51" s="32" t="s">
        <v>36</v>
      </c>
      <c r="C51" s="16"/>
      <c r="D51" s="16"/>
      <c r="E51" s="16"/>
      <c r="F51" s="16"/>
      <c r="G51" s="16"/>
    </row>
    <row r="52" spans="2:7" ht="18" customHeight="1" x14ac:dyDescent="0.3">
      <c r="B52" s="31" t="s">
        <v>72</v>
      </c>
      <c r="C52" s="16"/>
      <c r="D52" s="16"/>
      <c r="E52" s="16"/>
      <c r="F52" s="16"/>
      <c r="G52" s="16"/>
    </row>
    <row r="53" spans="2:7" ht="18" customHeight="1" x14ac:dyDescent="0.3">
      <c r="B53" s="16"/>
      <c r="C53" s="16"/>
      <c r="D53" s="16"/>
      <c r="E53" s="16"/>
      <c r="F53" s="16"/>
      <c r="G53" s="16"/>
    </row>
    <row r="54" spans="2:7" ht="18" customHeight="1" x14ac:dyDescent="0.3">
      <c r="B54" s="16"/>
      <c r="C54" s="16"/>
      <c r="D54" s="16"/>
      <c r="E54" s="16"/>
      <c r="F54" s="16"/>
      <c r="G54" s="16"/>
    </row>
    <row r="55" spans="2:7" ht="30.75" customHeight="1" x14ac:dyDescent="0.3">
      <c r="B55" s="100" t="s">
        <v>37</v>
      </c>
      <c r="C55" s="101"/>
      <c r="D55" s="101"/>
      <c r="E55" s="101"/>
      <c r="F55" s="101"/>
      <c r="G55" s="102"/>
    </row>
    <row r="56" spans="2:7" ht="18" customHeight="1" x14ac:dyDescent="0.3">
      <c r="B56" s="33"/>
      <c r="C56" s="16"/>
      <c r="D56" s="16"/>
      <c r="E56" s="16"/>
      <c r="F56" s="16"/>
      <c r="G56" s="16"/>
    </row>
    <row r="57" spans="2:7" ht="22.5" customHeight="1" x14ac:dyDescent="0.3">
      <c r="B57" s="98" t="s">
        <v>38</v>
      </c>
      <c r="C57" s="98"/>
      <c r="D57" s="98"/>
      <c r="E57" s="98"/>
      <c r="F57" s="98"/>
      <c r="G57" s="98"/>
    </row>
    <row r="58" spans="2:7" ht="18" customHeight="1" x14ac:dyDescent="0.3">
      <c r="B58" s="33"/>
      <c r="C58" s="34"/>
      <c r="D58" s="34"/>
      <c r="E58" s="34"/>
      <c r="F58" s="34"/>
      <c r="G58" s="34"/>
    </row>
    <row r="59" spans="2:7" ht="18" customHeight="1" x14ac:dyDescent="0.3">
      <c r="B59" s="99" t="s">
        <v>39</v>
      </c>
      <c r="C59" s="99"/>
      <c r="D59" s="99"/>
      <c r="E59" s="99"/>
      <c r="F59" s="99"/>
      <c r="G59" s="99"/>
    </row>
    <row r="60" spans="2:7" ht="18" customHeight="1" x14ac:dyDescent="0.3">
      <c r="B60" s="99" t="s">
        <v>40</v>
      </c>
      <c r="C60" s="99"/>
      <c r="D60" s="99"/>
      <c r="E60" s="99"/>
      <c r="F60" s="99"/>
      <c r="G60" s="99"/>
    </row>
    <row r="61" spans="2:7" ht="18" customHeight="1" x14ac:dyDescent="0.3">
      <c r="B61" s="98" t="s">
        <v>41</v>
      </c>
      <c r="C61" s="98"/>
      <c r="D61" s="98"/>
      <c r="E61" s="98"/>
      <c r="F61" s="98"/>
      <c r="G61" s="98"/>
    </row>
    <row r="62" spans="2:7" ht="18" customHeight="1" x14ac:dyDescent="0.3">
      <c r="B62" s="96" t="s">
        <v>42</v>
      </c>
      <c r="C62" s="96"/>
      <c r="D62" s="96"/>
      <c r="E62" s="96"/>
      <c r="F62" s="96"/>
      <c r="G62" s="96"/>
    </row>
    <row r="63" spans="2:7" ht="18" customHeight="1" x14ac:dyDescent="0.3">
      <c r="B63" s="33"/>
      <c r="C63" s="33"/>
      <c r="D63" s="33"/>
      <c r="E63" s="33"/>
      <c r="F63" s="33"/>
      <c r="G63" s="33"/>
    </row>
    <row r="64" spans="2:7" ht="19.5" customHeight="1" x14ac:dyDescent="0.3">
      <c r="C64" s="10"/>
      <c r="D64" s="10"/>
    </row>
    <row r="65" spans="3:4" ht="16.5" customHeight="1" x14ac:dyDescent="0.3">
      <c r="C65" s="35"/>
      <c r="D65" s="35"/>
    </row>
    <row r="66" spans="3:4" ht="16.5" customHeight="1" x14ac:dyDescent="0.3">
      <c r="C66" s="35"/>
      <c r="D66" s="35"/>
    </row>
  </sheetData>
  <sheetProtection formatCells="0" selectLockedCells="1"/>
  <dataConsolidate link="1"/>
  <mergeCells count="35">
    <mergeCell ref="H3:J3"/>
    <mergeCell ref="B1:C1"/>
    <mergeCell ref="H1:J1"/>
    <mergeCell ref="K1:L1"/>
    <mergeCell ref="H2:J2"/>
    <mergeCell ref="K3:L3"/>
    <mergeCell ref="B7:C8"/>
    <mergeCell ref="H6:J6"/>
    <mergeCell ref="K6:L6"/>
    <mergeCell ref="H7:J7"/>
    <mergeCell ref="K7:L7"/>
    <mergeCell ref="H8:J8"/>
    <mergeCell ref="K8:L8"/>
    <mergeCell ref="B6:C6"/>
    <mergeCell ref="B4:C5"/>
    <mergeCell ref="H4:J4"/>
    <mergeCell ref="K4:L4"/>
    <mergeCell ref="H5:J5"/>
    <mergeCell ref="K5:L5"/>
    <mergeCell ref="H9:J9"/>
    <mergeCell ref="K9:L9"/>
    <mergeCell ref="K11:L11"/>
    <mergeCell ref="B62:G62"/>
    <mergeCell ref="B14:C14"/>
    <mergeCell ref="J41:M41"/>
    <mergeCell ref="B57:G57"/>
    <mergeCell ref="B59:G59"/>
    <mergeCell ref="B60:G60"/>
    <mergeCell ref="B61:G61"/>
    <mergeCell ref="B55:G55"/>
    <mergeCell ref="B13:C13"/>
    <mergeCell ref="B11:C11"/>
    <mergeCell ref="H11:J11"/>
    <mergeCell ref="B12:C12"/>
    <mergeCell ref="K10:L10"/>
  </mergeCells>
  <phoneticPr fontId="20" type="noConversion"/>
  <conditionalFormatting sqref="L17:L36">
    <cfRule type="colorScale" priority="15">
      <colorScale>
        <cfvo type="num" val="0"/>
        <cfvo type="num" val="1"/>
        <cfvo type="num" val="20"/>
        <color rgb="FFFF0000"/>
        <color rgb="FFFFFF00"/>
        <color rgb="FF33E963"/>
      </colorScale>
    </cfRule>
  </conditionalFormatting>
  <conditionalFormatting sqref="I17:I36">
    <cfRule type="cellIs" dxfId="12" priority="12" operator="lessThan">
      <formula>0</formula>
    </cfRule>
  </conditionalFormatting>
  <conditionalFormatting sqref="C27:D27 C29:D36">
    <cfRule type="duplicateValues" dxfId="11" priority="11"/>
  </conditionalFormatting>
  <conditionalFormatting sqref="C27:D27">
    <cfRule type="duplicateValues" dxfId="10" priority="10"/>
  </conditionalFormatting>
  <conditionalFormatting sqref="D17">
    <cfRule type="duplicateValues" dxfId="9" priority="8"/>
  </conditionalFormatting>
  <conditionalFormatting sqref="C17:C24">
    <cfRule type="duplicateValues" dxfId="8" priority="9"/>
  </conditionalFormatting>
  <conditionalFormatting sqref="D25:D26">
    <cfRule type="duplicateValues" dxfId="7" priority="6"/>
  </conditionalFormatting>
  <conditionalFormatting sqref="C25:C26">
    <cfRule type="duplicateValues" dxfId="6" priority="7"/>
  </conditionalFormatting>
  <conditionalFormatting sqref="D18">
    <cfRule type="duplicateValues" dxfId="5" priority="5"/>
  </conditionalFormatting>
  <conditionalFormatting sqref="D19">
    <cfRule type="duplicateValues" dxfId="4" priority="4"/>
  </conditionalFormatting>
  <conditionalFormatting sqref="D20:D24">
    <cfRule type="duplicateValues" dxfId="3" priority="3"/>
  </conditionalFormatting>
  <conditionalFormatting sqref="C28:D28">
    <cfRule type="duplicateValues" dxfId="2" priority="1"/>
  </conditionalFormatting>
  <conditionalFormatting sqref="H17:H36">
    <cfRule type="expression" dxfId="1" priority="16">
      <formula>$L17&gt;=$E17</formula>
    </cfRule>
    <cfRule type="expression" dxfId="0" priority="17">
      <formula>$E17&gt;$L17</formula>
    </cfRule>
  </conditionalFormatting>
  <dataValidations count="5">
    <dataValidation type="list" allowBlank="1" showInputMessage="1" showErrorMessage="1" sqref="K1:L1" xr:uid="{00000000-0002-0000-0000-000000000000}">
      <formula1>"EFECTIVO,TRANSFERENCIA,YAPE,POR COBRAR,POR PAGAR,A CONSIGNACIÓN"</formula1>
    </dataValidation>
    <dataValidation type="list" allowBlank="1" showInputMessage="1" showErrorMessage="1" sqref="K4:L4" xr:uid="{00000000-0002-0000-0000-000001000000}">
      <formula1>"VENTA,COMPRA,ANULACION DE OPERACIÓN,ANULACION POR ERROR DE RUC, CORRECCION POR ERROR EN LA DESCRIPCION, DEVOLUCION POR ITEM,USO INTERNO"</formula1>
    </dataValidation>
    <dataValidation type="list" allowBlank="1" showInputMessage="1" showErrorMessage="1" sqref="K5:L5" xr:uid="{00000000-0002-0000-0000-000002000000}">
      <formula1>"FACTURA,BOLETA,NOTA DE CREDITO,INTERNO"</formula1>
    </dataValidation>
    <dataValidation type="list" allowBlank="1" showInputMessage="1" showErrorMessage="1" sqref="K37" xr:uid="{00000000-0002-0000-0000-000003000000}">
      <formula1>#REF!</formula1>
    </dataValidation>
    <dataValidation type="list" allowBlank="1" showInputMessage="1" showErrorMessage="1" sqref="K17:K36" xr:uid="{00000000-0002-0000-0000-000004000000}">
      <formula1>$S$16:$V$16</formula1>
    </dataValidation>
  </dataValidations>
  <printOptions horizontalCentered="1"/>
  <pageMargins left="0.39370078740157483" right="0.39370078740157483" top="0.59055118110236227" bottom="0.51181102362204722" header="0" footer="0"/>
  <pageSetup paperSize="9" scale="63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5" r:id="rId4" name="Btn_Precio">
          <controlPr defaultSize="0" print="0" autoLine="0" autoPict="0" r:id="rId5">
            <anchor>
              <from>
                <xdr:col>5</xdr:col>
                <xdr:colOff>7620</xdr:colOff>
                <xdr:row>0</xdr:row>
                <xdr:rowOff>7620</xdr:rowOff>
              </from>
              <to>
                <xdr:col>5</xdr:col>
                <xdr:colOff>1280160</xdr:colOff>
                <xdr:row>1</xdr:row>
                <xdr:rowOff>152400</xdr:rowOff>
              </to>
            </anchor>
          </controlPr>
        </control>
      </mc:Choice>
      <mc:Fallback>
        <control shapeId="2065" r:id="rId4" name="Btn_Precio"/>
      </mc:Fallback>
    </mc:AlternateContent>
    <mc:AlternateContent xmlns:mc="http://schemas.openxmlformats.org/markup-compatibility/2006">
      <mc:Choice Requires="x14">
        <control shapeId="2056" r:id="rId6" name="Btn_Prod">
          <controlPr defaultSize="0" print="0" autoLine="0" r:id="rId7">
            <anchor moveWithCells="1" sizeWithCells="1">
              <from>
                <xdr:col>3</xdr:col>
                <xdr:colOff>3627120</xdr:colOff>
                <xdr:row>0</xdr:row>
                <xdr:rowOff>7620</xdr:rowOff>
              </from>
              <to>
                <xdr:col>4</xdr:col>
                <xdr:colOff>609600</xdr:colOff>
                <xdr:row>1</xdr:row>
                <xdr:rowOff>144780</xdr:rowOff>
              </to>
            </anchor>
          </controlPr>
        </control>
      </mc:Choice>
      <mc:Fallback>
        <control shapeId="2056" r:id="rId6" name="Btn_Prod"/>
      </mc:Fallback>
    </mc:AlternateContent>
    <mc:AlternateContent xmlns:mc="http://schemas.openxmlformats.org/markup-compatibility/2006">
      <mc:Choice Requires="x14">
        <control shapeId="2055" r:id="rId8" name="CommandButton5">
          <controlPr defaultSize="0" print="0" autoLine="0" r:id="rId9">
            <anchor>
              <from>
                <xdr:col>3</xdr:col>
                <xdr:colOff>1821180</xdr:colOff>
                <xdr:row>0</xdr:row>
                <xdr:rowOff>7620</xdr:rowOff>
              </from>
              <to>
                <xdr:col>3</xdr:col>
                <xdr:colOff>3619500</xdr:colOff>
                <xdr:row>1</xdr:row>
                <xdr:rowOff>144780</xdr:rowOff>
              </to>
            </anchor>
          </controlPr>
        </control>
      </mc:Choice>
      <mc:Fallback>
        <control shapeId="2055" r:id="rId8" name="CommandButton5"/>
      </mc:Fallback>
    </mc:AlternateContent>
    <mc:AlternateContent xmlns:mc="http://schemas.openxmlformats.org/markup-compatibility/2006">
      <mc:Choice Requires="x14">
        <control shapeId="2063" r:id="rId10" name="Btn_Clear">
          <controlPr defaultSize="0" print="0" autoLine="0" autoPict="0" r:id="rId11">
            <anchor>
              <from>
                <xdr:col>5</xdr:col>
                <xdr:colOff>1303020</xdr:colOff>
                <xdr:row>0</xdr:row>
                <xdr:rowOff>7620</xdr:rowOff>
              </from>
              <to>
                <xdr:col>6</xdr:col>
                <xdr:colOff>1181100</xdr:colOff>
                <xdr:row>1</xdr:row>
                <xdr:rowOff>137160</xdr:rowOff>
              </to>
            </anchor>
          </controlPr>
        </control>
      </mc:Choice>
      <mc:Fallback>
        <control shapeId="2063" r:id="rId10" name="Btn_Clear"/>
      </mc:Fallback>
    </mc:AlternateContent>
    <mc:AlternateContent xmlns:mc="http://schemas.openxmlformats.org/markup-compatibility/2006">
      <mc:Choice Requires="x14">
        <control shapeId="2072" r:id="rId12" name="Btn_Coti">
          <controlPr defaultSize="0" print="0" autoLine="0" r:id="rId13">
            <anchor>
              <from>
                <xdr:col>17</xdr:col>
                <xdr:colOff>198120</xdr:colOff>
                <xdr:row>9</xdr:row>
                <xdr:rowOff>7620</xdr:rowOff>
              </from>
              <to>
                <xdr:col>18</xdr:col>
                <xdr:colOff>845820</xdr:colOff>
                <xdr:row>13</xdr:row>
                <xdr:rowOff>45720</xdr:rowOff>
              </to>
            </anchor>
          </controlPr>
        </control>
      </mc:Choice>
      <mc:Fallback>
        <control shapeId="2072" r:id="rId12" name="Btn_Coti"/>
      </mc:Fallback>
    </mc:AlternateContent>
    <mc:AlternateContent xmlns:mc="http://schemas.openxmlformats.org/markup-compatibility/2006">
      <mc:Choice Requires="x14">
        <control shapeId="2067" r:id="rId14" name="Button 19">
          <controlPr defaultSize="0" print="0" autoFill="0" autoPict="0" macro="[0]!InsertAllData">
            <anchor moveWithCells="1" sizeWithCells="1">
              <from>
                <xdr:col>17</xdr:col>
                <xdr:colOff>236220</xdr:colOff>
                <xdr:row>0</xdr:row>
                <xdr:rowOff>60960</xdr:rowOff>
              </from>
              <to>
                <xdr:col>18</xdr:col>
                <xdr:colOff>541020</xdr:colOff>
                <xdr:row>2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15" name="Button 21">
          <controlPr defaultSize="0" print="0" autoFill="0" autoPict="0" macro="[0]!Insert_Cot">
            <anchor moveWithCells="1" sizeWithCells="1">
              <from>
                <xdr:col>17</xdr:col>
                <xdr:colOff>251460</xdr:colOff>
                <xdr:row>2</xdr:row>
                <xdr:rowOff>220980</xdr:rowOff>
              </from>
              <to>
                <xdr:col>18</xdr:col>
                <xdr:colOff>883920</xdr:colOff>
                <xdr:row>5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3" r:id="rId16" name="Button 25">
          <controlPr defaultSize="0" print="0" autoFill="0" autoPict="0" macro="[0]!Actualizar_Cot">
            <anchor moveWithCells="1" sizeWithCells="1">
              <from>
                <xdr:col>17</xdr:col>
                <xdr:colOff>228600</xdr:colOff>
                <xdr:row>6</xdr:row>
                <xdr:rowOff>30480</xdr:rowOff>
              </from>
              <to>
                <xdr:col>18</xdr:col>
                <xdr:colOff>868680</xdr:colOff>
                <xdr:row>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17" name="Button 26">
          <controlPr defaultSize="0" print="0" autoFill="0" autoPict="0" macro="[0]!Botón26_Haga_clic_en">
            <anchor moveWithCells="1" sizeWithCells="1">
              <from>
                <xdr:col>6</xdr:col>
                <xdr:colOff>7620</xdr:colOff>
                <xdr:row>7</xdr:row>
                <xdr:rowOff>99060</xdr:rowOff>
              </from>
              <to>
                <xdr:col>6</xdr:col>
                <xdr:colOff>1295400</xdr:colOff>
                <xdr:row>11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1:M12"/>
  <sheetViews>
    <sheetView workbookViewId="0">
      <selection activeCell="G32" sqref="G32"/>
    </sheetView>
  </sheetViews>
  <sheetFormatPr baseColWidth="10" defaultRowHeight="14.4" x14ac:dyDescent="0.3"/>
  <cols>
    <col min="2" max="2" width="10.44140625" bestFit="1" customWidth="1"/>
    <col min="3" max="3" width="17.44140625" bestFit="1" customWidth="1"/>
    <col min="4" max="4" width="13.44140625" bestFit="1" customWidth="1"/>
    <col min="5" max="5" width="17.88671875" bestFit="1" customWidth="1"/>
    <col min="6" max="6" width="15.33203125" bestFit="1" customWidth="1"/>
    <col min="7" max="7" width="81.6640625" bestFit="1" customWidth="1"/>
    <col min="8" max="8" width="8.88671875" bestFit="1" customWidth="1"/>
    <col min="9" max="9" width="5.109375" bestFit="1" customWidth="1"/>
    <col min="10" max="10" width="8" bestFit="1" customWidth="1"/>
    <col min="11" max="11" width="24.109375" bestFit="1" customWidth="1"/>
    <col min="12" max="12" width="8.5546875" bestFit="1" customWidth="1"/>
    <col min="13" max="13" width="12" bestFit="1" customWidth="1"/>
  </cols>
  <sheetData>
    <row r="1" spans="2:13" x14ac:dyDescent="0.3"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2:13" x14ac:dyDescent="0.3">
      <c r="B2" t="s">
        <v>87</v>
      </c>
      <c r="C2" t="s">
        <v>88</v>
      </c>
      <c r="D2" t="s">
        <v>89</v>
      </c>
      <c r="E2" t="s">
        <v>90</v>
      </c>
      <c r="F2" t="s">
        <v>91</v>
      </c>
      <c r="G2" t="s">
        <v>92</v>
      </c>
      <c r="H2" t="s">
        <v>73</v>
      </c>
      <c r="I2" t="s">
        <v>97</v>
      </c>
      <c r="J2" t="s">
        <v>93</v>
      </c>
      <c r="K2" t="s">
        <v>94</v>
      </c>
      <c r="L2" t="s">
        <v>95</v>
      </c>
      <c r="M2" t="s">
        <v>96</v>
      </c>
    </row>
    <row r="3" spans="2:13" x14ac:dyDescent="0.3">
      <c r="B3" s="87">
        <v>45358</v>
      </c>
      <c r="C3" t="s">
        <v>106</v>
      </c>
      <c r="D3" t="s">
        <v>75</v>
      </c>
      <c r="E3">
        <v>10863698</v>
      </c>
      <c r="F3" t="s">
        <v>76</v>
      </c>
      <c r="G3" t="s">
        <v>74</v>
      </c>
      <c r="H3" t="s">
        <v>74</v>
      </c>
      <c r="I3">
        <v>1</v>
      </c>
      <c r="J3" t="s">
        <v>77</v>
      </c>
      <c r="K3" t="s">
        <v>78</v>
      </c>
      <c r="L3">
        <v>20</v>
      </c>
      <c r="M3">
        <v>66.6666666666667</v>
      </c>
    </row>
    <row r="4" spans="2:13" x14ac:dyDescent="0.3">
      <c r="I4">
        <v>2</v>
      </c>
      <c r="J4" t="s">
        <v>79</v>
      </c>
      <c r="K4" t="s">
        <v>80</v>
      </c>
      <c r="L4">
        <v>20</v>
      </c>
      <c r="M4">
        <v>42.2222222222222</v>
      </c>
    </row>
    <row r="5" spans="2:13" x14ac:dyDescent="0.3">
      <c r="I5">
        <v>3</v>
      </c>
      <c r="J5" t="s">
        <v>81</v>
      </c>
      <c r="K5" t="s">
        <v>82</v>
      </c>
      <c r="L5">
        <v>30</v>
      </c>
      <c r="M5">
        <v>71.294813333333295</v>
      </c>
    </row>
    <row r="6" spans="2:13" x14ac:dyDescent="0.3">
      <c r="I6">
        <v>4</v>
      </c>
      <c r="J6" t="s">
        <v>102</v>
      </c>
      <c r="K6" t="s">
        <v>103</v>
      </c>
      <c r="L6">
        <v>20</v>
      </c>
      <c r="M6">
        <v>137.65722666666699</v>
      </c>
    </row>
    <row r="7" spans="2:13" x14ac:dyDescent="0.3">
      <c r="I7">
        <v>5</v>
      </c>
      <c r="J7" t="s">
        <v>104</v>
      </c>
      <c r="K7" t="s">
        <v>105</v>
      </c>
      <c r="L7">
        <v>20</v>
      </c>
      <c r="M7">
        <v>7.0091999999999999</v>
      </c>
    </row>
    <row r="8" spans="2:13" x14ac:dyDescent="0.3">
      <c r="I8">
        <v>6</v>
      </c>
      <c r="J8" t="s">
        <v>99</v>
      </c>
      <c r="K8" t="s">
        <v>84</v>
      </c>
      <c r="L8">
        <v>30</v>
      </c>
      <c r="M8">
        <v>63.6452666666667</v>
      </c>
    </row>
    <row r="9" spans="2:13" x14ac:dyDescent="0.3">
      <c r="I9">
        <v>7</v>
      </c>
      <c r="J9" t="s">
        <v>100</v>
      </c>
      <c r="K9" t="s">
        <v>85</v>
      </c>
      <c r="L9">
        <v>20</v>
      </c>
      <c r="M9">
        <v>11.327213333333299</v>
      </c>
    </row>
    <row r="10" spans="2:13" x14ac:dyDescent="0.3">
      <c r="I10">
        <v>8</v>
      </c>
      <c r="J10" t="s">
        <v>101</v>
      </c>
      <c r="K10" t="s">
        <v>86</v>
      </c>
      <c r="L10">
        <v>30</v>
      </c>
      <c r="M10">
        <v>20.8978</v>
      </c>
    </row>
    <row r="11" spans="2:13" x14ac:dyDescent="0.3">
      <c r="I11">
        <v>4</v>
      </c>
      <c r="J11" t="s">
        <v>98</v>
      </c>
      <c r="K11" t="s">
        <v>83</v>
      </c>
      <c r="L11">
        <v>30</v>
      </c>
      <c r="M11">
        <v>2.53542666666667</v>
      </c>
    </row>
    <row r="12" spans="2:13" x14ac:dyDescent="0.3">
      <c r="I12">
        <v>1</v>
      </c>
      <c r="J12" t="s">
        <v>77</v>
      </c>
      <c r="K12" t="s">
        <v>78</v>
      </c>
      <c r="L12">
        <v>20</v>
      </c>
      <c r="M12">
        <v>66.6666666666667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I30"/>
  <sheetViews>
    <sheetView showGridLines="0" zoomScaleNormal="100" workbookViewId="0">
      <selection activeCell="B32" sqref="B32"/>
    </sheetView>
  </sheetViews>
  <sheetFormatPr baseColWidth="10" defaultColWidth="11.44140625" defaultRowHeight="13.8" x14ac:dyDescent="0.25"/>
  <cols>
    <col min="1" max="1" width="11.44140625" style="1"/>
    <col min="2" max="2" width="38.109375" style="1" bestFit="1" customWidth="1"/>
    <col min="3" max="3" width="43.33203125" style="1" customWidth="1"/>
    <col min="4" max="4" width="8" style="1" customWidth="1"/>
    <col min="5" max="16384" width="11.44140625" style="1"/>
  </cols>
  <sheetData>
    <row r="2" spans="2:9" x14ac:dyDescent="0.25">
      <c r="B2" s="8" t="s">
        <v>58</v>
      </c>
    </row>
    <row r="4" spans="2:9" x14ac:dyDescent="0.25">
      <c r="B4" s="6" t="s">
        <v>57</v>
      </c>
      <c r="C4" s="2"/>
      <c r="D4" s="2"/>
      <c r="E4" s="2"/>
      <c r="F4" s="2"/>
      <c r="G4" s="2"/>
      <c r="H4" s="2"/>
      <c r="I4" s="2"/>
    </row>
    <row r="6" spans="2:9" x14ac:dyDescent="0.25">
      <c r="B6" s="7" t="s">
        <v>56</v>
      </c>
      <c r="C6" s="7" t="s">
        <v>55</v>
      </c>
      <c r="D6" s="7"/>
      <c r="E6" s="7"/>
      <c r="F6" s="7"/>
      <c r="G6" s="7"/>
    </row>
    <row r="7" spans="2:9" x14ac:dyDescent="0.25">
      <c r="B7" s="7" t="s">
        <v>54</v>
      </c>
      <c r="C7" s="7" t="s">
        <v>59</v>
      </c>
      <c r="D7" s="7"/>
      <c r="E7" s="7"/>
      <c r="F7" s="7"/>
      <c r="G7" s="7"/>
    </row>
    <row r="8" spans="2:9" x14ac:dyDescent="0.25">
      <c r="B8" s="7" t="s">
        <v>48</v>
      </c>
      <c r="C8" s="7"/>
      <c r="D8" s="7"/>
      <c r="E8" s="7"/>
      <c r="F8" s="7"/>
      <c r="G8" s="7"/>
    </row>
    <row r="10" spans="2:9" x14ac:dyDescent="0.25">
      <c r="B10" s="4" t="s">
        <v>45</v>
      </c>
      <c r="C10" s="1" t="str">
        <f>"Provider=MiProviderAqui; Data Source=RutaBD;Jet OLEDB:Database Password=MiPassword;"</f>
        <v>Provider=MiProviderAqui; Data Source=RutaBD;Jet OLEDB:Database Password=MiPassword;</v>
      </c>
    </row>
    <row r="11" spans="2:9" x14ac:dyDescent="0.25">
      <c r="B11" s="4" t="s">
        <v>44</v>
      </c>
      <c r="C11" s="1" t="str">
        <f>"Provider="&amp;C6&amp;"; Data Source="&amp;C7&amp;";Jet OLEDB:Database Password="&amp;C8&amp;";"</f>
        <v>Provider=Microsoft.ACE.OLEDB.12.0; Data Source=G:\Otros ordenadores\Mi portátil\WindHome\COTIZACIONES\BBDD042022.accdb;Jet OLEDB:Database Password=;</v>
      </c>
    </row>
    <row r="13" spans="2:9" x14ac:dyDescent="0.25">
      <c r="B13" s="4" t="s">
        <v>43</v>
      </c>
      <c r="C13" s="3"/>
    </row>
    <row r="14" spans="2:9" x14ac:dyDescent="0.25">
      <c r="B14" s="4"/>
      <c r="C14" s="4"/>
    </row>
    <row r="15" spans="2:9" x14ac:dyDescent="0.25">
      <c r="B15" s="4"/>
      <c r="C15" s="4"/>
    </row>
    <row r="16" spans="2:9" s="2" customFormat="1" x14ac:dyDescent="0.25">
      <c r="B16" s="6" t="s">
        <v>53</v>
      </c>
    </row>
    <row r="18" spans="2:3" x14ac:dyDescent="0.25">
      <c r="B18" s="5" t="s">
        <v>52</v>
      </c>
      <c r="C18" s="5" t="s">
        <v>63</v>
      </c>
    </row>
    <row r="19" spans="2:3" x14ac:dyDescent="0.25">
      <c r="B19" s="5" t="s">
        <v>51</v>
      </c>
      <c r="C19" s="5" t="s">
        <v>61</v>
      </c>
    </row>
    <row r="20" spans="2:3" x14ac:dyDescent="0.25">
      <c r="B20" s="5" t="s">
        <v>50</v>
      </c>
      <c r="C20" s="5" t="s">
        <v>62</v>
      </c>
    </row>
    <row r="21" spans="2:3" x14ac:dyDescent="0.25">
      <c r="B21" s="5" t="s">
        <v>49</v>
      </c>
      <c r="C21" s="5" t="s">
        <v>60</v>
      </c>
    </row>
    <row r="22" spans="2:3" x14ac:dyDescent="0.25">
      <c r="B22" s="5" t="s">
        <v>48</v>
      </c>
      <c r="C22" s="5"/>
    </row>
    <row r="23" spans="2:3" x14ac:dyDescent="0.25">
      <c r="B23" s="5" t="s">
        <v>47</v>
      </c>
      <c r="C23" s="5">
        <v>3306</v>
      </c>
    </row>
    <row r="24" spans="2:3" x14ac:dyDescent="0.25">
      <c r="B24" s="5" t="s">
        <v>46</v>
      </c>
      <c r="C24" s="5"/>
    </row>
    <row r="25" spans="2:3" x14ac:dyDescent="0.25">
      <c r="B25" s="4" t="s">
        <v>45</v>
      </c>
      <c r="C25" s="1" t="str">
        <f>"DRIVER={MiDriverAqui}; SERVER=MiServerAqui; DATABASE=MiBDAqui; PORT=MiPuerto; CHARSET= MiCharset=; User=MiUser; Password=MiPassword"</f>
        <v>DRIVER={MiDriverAqui}; SERVER=MiServerAqui; DATABASE=MiBDAqui; PORT=MiPuerto; CHARSET= MiCharset=; User=MiUser; Password=MiPassword</v>
      </c>
    </row>
    <row r="26" spans="2:3" x14ac:dyDescent="0.25">
      <c r="B26" s="4" t="s">
        <v>44</v>
      </c>
      <c r="C26" s="1" t="str">
        <f>"DRIVER= " &amp;C18 &amp;"; SERVER="&amp;C19&amp;"; DATABASE="&amp;C20&amp;";  PORT="&amp;C23&amp;"; CHARSET= "&amp;C24&amp;"; User="&amp;C21&amp;"; Password="&amp;C22 &amp; ";"</f>
        <v>DRIVER= {MySQL ODBC 8.3 UNICODE Driver}; SERVER=127.0.0.1; DATABASE=bbdd_2024;  PORT=3306; CHARSET= ; User=root; Password=;</v>
      </c>
    </row>
    <row r="28" spans="2:3" x14ac:dyDescent="0.25">
      <c r="B28" s="4" t="s">
        <v>43</v>
      </c>
      <c r="C28" s="3"/>
    </row>
    <row r="30" spans="2:3" s="2" customFormat="1" x14ac:dyDescent="0.25"/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0F60C3-F6C2-4FE7-BB04-1788AF814C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Pag1</vt:lpstr>
      <vt:lpstr>Hoja1</vt:lpstr>
      <vt:lpstr>Cadena de conexión</vt:lpstr>
      <vt:lpstr>'Pag1'!Área_de_impresión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MEGA KB</dc:creator>
  <cp:lastModifiedBy>EXCEL SERVICIOS</cp:lastModifiedBy>
  <cp:lastPrinted>2024-03-10T00:46:02Z</cp:lastPrinted>
  <dcterms:created xsi:type="dcterms:W3CDTF">2024-01-06T19:00:22Z</dcterms:created>
  <dcterms:modified xsi:type="dcterms:W3CDTF">2024-04-18T22:13:22Z</dcterms:modified>
</cp:coreProperties>
</file>